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750" yWindow="1200" windowWidth="14640" windowHeight="6225" tabRatio="620" activeTab="2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24519"/>
</workbook>
</file>

<file path=xl/calcChain.xml><?xml version="1.0" encoding="utf-8"?>
<calcChain xmlns="http://schemas.openxmlformats.org/spreadsheetml/2006/main">
  <c r="G11" i="6"/>
  <c r="G12"/>
  <c r="G13"/>
  <c r="G14"/>
  <c r="G15"/>
  <c r="G16"/>
  <c r="G17"/>
  <c r="G18"/>
  <c r="G19"/>
  <c r="G20"/>
  <c r="G21"/>
  <c r="G22"/>
  <c r="G23"/>
  <c r="G24"/>
  <c r="G25"/>
  <c r="K6" i="7"/>
  <c r="E3" i="6"/>
  <c r="G11" i="7" s="1"/>
  <c r="E2" i="6"/>
  <c r="B9" i="9"/>
  <c r="B10"/>
  <c r="B11"/>
  <c r="B12"/>
  <c r="B13"/>
  <c r="B14"/>
  <c r="B15"/>
  <c r="B16"/>
  <c r="B17"/>
  <c r="B18"/>
  <c r="B19"/>
  <c r="B20"/>
  <c r="B21"/>
  <c r="B22"/>
  <c r="B23"/>
  <c r="B24"/>
  <c r="B2"/>
  <c r="B4"/>
  <c r="B5"/>
  <c r="B3"/>
  <c r="G56" i="7" l="1"/>
  <c r="G40"/>
  <c r="G24"/>
  <c r="G8"/>
  <c r="G60"/>
  <c r="G44"/>
  <c r="G28"/>
  <c r="G12"/>
  <c r="G48"/>
  <c r="G32"/>
  <c r="G16"/>
  <c r="G52"/>
  <c r="G36"/>
  <c r="G20"/>
  <c r="G61"/>
  <c r="G57"/>
  <c r="G53"/>
  <c r="G49"/>
  <c r="G45"/>
  <c r="G41"/>
  <c r="G37"/>
  <c r="G33"/>
  <c r="G29"/>
  <c r="G25"/>
  <c r="G21"/>
  <c r="G17"/>
  <c r="G13"/>
  <c r="G9"/>
  <c r="G58"/>
  <c r="G54"/>
  <c r="G50"/>
  <c r="G46"/>
  <c r="G42"/>
  <c r="G38"/>
  <c r="G34"/>
  <c r="G30"/>
  <c r="G26"/>
  <c r="G22"/>
  <c r="G18"/>
  <c r="G14"/>
  <c r="G10"/>
  <c r="G59"/>
  <c r="G55"/>
  <c r="G51"/>
  <c r="G47"/>
  <c r="G43"/>
  <c r="G39"/>
  <c r="G35"/>
  <c r="G31"/>
  <c r="G27"/>
  <c r="G23"/>
  <c r="G19"/>
  <c r="G15"/>
  <c r="BA60"/>
  <c r="BD60" s="1"/>
  <c r="BG60" s="1"/>
  <c r="BJ60" s="1"/>
  <c r="BM60" s="1"/>
  <c r="BP60" s="1"/>
  <c r="BS60" s="1"/>
  <c r="BV60" s="1"/>
  <c r="BY60" s="1"/>
  <c r="CB60" s="1"/>
  <c r="K60"/>
  <c r="L60" s="1"/>
  <c r="BA59"/>
  <c r="BD59" s="1"/>
  <c r="BG59" s="1"/>
  <c r="BJ59" s="1"/>
  <c r="BM59" s="1"/>
  <c r="BP59" s="1"/>
  <c r="BS59" s="1"/>
  <c r="BV59" s="1"/>
  <c r="BY59" s="1"/>
  <c r="CB59" s="1"/>
  <c r="K59"/>
  <c r="L59" s="1"/>
  <c r="BA58"/>
  <c r="BD58" s="1"/>
  <c r="BG58" s="1"/>
  <c r="BJ58" s="1"/>
  <c r="BM58" s="1"/>
  <c r="BP58" s="1"/>
  <c r="BS58" s="1"/>
  <c r="BV58" s="1"/>
  <c r="BY58" s="1"/>
  <c r="CB58" s="1"/>
  <c r="K58"/>
  <c r="L58" s="1"/>
  <c r="BA57"/>
  <c r="BD57" s="1"/>
  <c r="BG57" s="1"/>
  <c r="BJ57" s="1"/>
  <c r="BM57" s="1"/>
  <c r="BP57" s="1"/>
  <c r="BS57" s="1"/>
  <c r="BV57" s="1"/>
  <c r="BY57" s="1"/>
  <c r="CB57" s="1"/>
  <c r="K57"/>
  <c r="L57" s="1"/>
  <c r="BA56"/>
  <c r="BD56" s="1"/>
  <c r="BG56" s="1"/>
  <c r="BJ56" s="1"/>
  <c r="BM56" s="1"/>
  <c r="BP56" s="1"/>
  <c r="BS56" s="1"/>
  <c r="BV56" s="1"/>
  <c r="BY56" s="1"/>
  <c r="CB56" s="1"/>
  <c r="K56"/>
  <c r="L56" s="1"/>
  <c r="BA55"/>
  <c r="BD55" s="1"/>
  <c r="BG55" s="1"/>
  <c r="BJ55" s="1"/>
  <c r="BM55" s="1"/>
  <c r="BP55" s="1"/>
  <c r="BS55" s="1"/>
  <c r="BV55" s="1"/>
  <c r="BY55" s="1"/>
  <c r="CB55" s="1"/>
  <c r="K55"/>
  <c r="L55" s="1"/>
  <c r="BA54"/>
  <c r="BD54" s="1"/>
  <c r="BG54" s="1"/>
  <c r="BJ54" s="1"/>
  <c r="BM54" s="1"/>
  <c r="BP54" s="1"/>
  <c r="BS54" s="1"/>
  <c r="BV54" s="1"/>
  <c r="BY54" s="1"/>
  <c r="CB54" s="1"/>
  <c r="K54"/>
  <c r="L54" s="1"/>
  <c r="BA53"/>
  <c r="BD53" s="1"/>
  <c r="BG53" s="1"/>
  <c r="BJ53" s="1"/>
  <c r="BM53" s="1"/>
  <c r="BP53" s="1"/>
  <c r="BS53" s="1"/>
  <c r="BV53" s="1"/>
  <c r="BY53" s="1"/>
  <c r="CB53" s="1"/>
  <c r="K53"/>
  <c r="L53" s="1"/>
  <c r="BA52"/>
  <c r="BD52" s="1"/>
  <c r="BG52" s="1"/>
  <c r="BJ52" s="1"/>
  <c r="BM52" s="1"/>
  <c r="BP52" s="1"/>
  <c r="BS52" s="1"/>
  <c r="BV52" s="1"/>
  <c r="BY52" s="1"/>
  <c r="CB52" s="1"/>
  <c r="K52"/>
  <c r="L52" s="1"/>
  <c r="BA51"/>
  <c r="BD51" s="1"/>
  <c r="BG51" s="1"/>
  <c r="BJ51" s="1"/>
  <c r="BM51" s="1"/>
  <c r="BP51" s="1"/>
  <c r="BS51" s="1"/>
  <c r="BV51" s="1"/>
  <c r="BY51" s="1"/>
  <c r="CB51" s="1"/>
  <c r="K51"/>
  <c r="L51" s="1"/>
  <c r="BA50"/>
  <c r="BD50" s="1"/>
  <c r="BG50" s="1"/>
  <c r="BJ50" s="1"/>
  <c r="BM50" s="1"/>
  <c r="BP50" s="1"/>
  <c r="BS50" s="1"/>
  <c r="BV50" s="1"/>
  <c r="BY50" s="1"/>
  <c r="CB50" s="1"/>
  <c r="K50"/>
  <c r="L50" s="1"/>
  <c r="BA49"/>
  <c r="BD49" s="1"/>
  <c r="BG49" s="1"/>
  <c r="BJ49" s="1"/>
  <c r="BM49" s="1"/>
  <c r="BP49" s="1"/>
  <c r="BS49" s="1"/>
  <c r="BV49" s="1"/>
  <c r="BY49" s="1"/>
  <c r="CB49" s="1"/>
  <c r="K49"/>
  <c r="L49" s="1"/>
  <c r="BA48"/>
  <c r="BD48" s="1"/>
  <c r="BG48" s="1"/>
  <c r="BJ48" s="1"/>
  <c r="BM48" s="1"/>
  <c r="BP48" s="1"/>
  <c r="BS48" s="1"/>
  <c r="BV48" s="1"/>
  <c r="BY48" s="1"/>
  <c r="CB48" s="1"/>
  <c r="K48"/>
  <c r="L48" s="1"/>
  <c r="BA47"/>
  <c r="BD47" s="1"/>
  <c r="BG47" s="1"/>
  <c r="BJ47" s="1"/>
  <c r="BM47" s="1"/>
  <c r="BP47" s="1"/>
  <c r="BS47" s="1"/>
  <c r="BV47" s="1"/>
  <c r="BY47" s="1"/>
  <c r="CB47" s="1"/>
  <c r="K47"/>
  <c r="L47" s="1"/>
  <c r="BA46"/>
  <c r="BD46" s="1"/>
  <c r="BG46" s="1"/>
  <c r="BJ46" s="1"/>
  <c r="BM46" s="1"/>
  <c r="BP46" s="1"/>
  <c r="BS46" s="1"/>
  <c r="BV46" s="1"/>
  <c r="BY46" s="1"/>
  <c r="CB46" s="1"/>
  <c r="K46"/>
  <c r="L46" s="1"/>
  <c r="BA45"/>
  <c r="BD45" s="1"/>
  <c r="BG45" s="1"/>
  <c r="BJ45" s="1"/>
  <c r="BM45" s="1"/>
  <c r="BP45" s="1"/>
  <c r="BS45" s="1"/>
  <c r="BV45" s="1"/>
  <c r="BY45" s="1"/>
  <c r="CB45" s="1"/>
  <c r="K45"/>
  <c r="L45" s="1"/>
  <c r="BA44"/>
  <c r="BD44" s="1"/>
  <c r="BG44" s="1"/>
  <c r="BJ44" s="1"/>
  <c r="BM44" s="1"/>
  <c r="BP44" s="1"/>
  <c r="BS44" s="1"/>
  <c r="BV44" s="1"/>
  <c r="BY44" s="1"/>
  <c r="CB44" s="1"/>
  <c r="K44"/>
  <c r="L44" s="1"/>
  <c r="BA43"/>
  <c r="BD43" s="1"/>
  <c r="BG43" s="1"/>
  <c r="BJ43" s="1"/>
  <c r="BM43" s="1"/>
  <c r="BP43" s="1"/>
  <c r="BS43" s="1"/>
  <c r="BV43" s="1"/>
  <c r="BY43" s="1"/>
  <c r="CB43" s="1"/>
  <c r="K43"/>
  <c r="L43" s="1"/>
  <c r="BA42"/>
  <c r="BD42" s="1"/>
  <c r="BG42" s="1"/>
  <c r="BJ42" s="1"/>
  <c r="BM42" s="1"/>
  <c r="BP42" s="1"/>
  <c r="BS42" s="1"/>
  <c r="BV42" s="1"/>
  <c r="BY42" s="1"/>
  <c r="CB42" s="1"/>
  <c r="K42"/>
  <c r="L42" s="1"/>
  <c r="BA41"/>
  <c r="BD41" s="1"/>
  <c r="BG41" s="1"/>
  <c r="BJ41" s="1"/>
  <c r="BM41" s="1"/>
  <c r="BP41" s="1"/>
  <c r="BS41" s="1"/>
  <c r="BV41" s="1"/>
  <c r="BY41" s="1"/>
  <c r="CB41" s="1"/>
  <c r="K41"/>
  <c r="L41" s="1"/>
  <c r="BA40"/>
  <c r="BD40" s="1"/>
  <c r="BG40" s="1"/>
  <c r="BJ40" s="1"/>
  <c r="BM40" s="1"/>
  <c r="BP40" s="1"/>
  <c r="BS40" s="1"/>
  <c r="BV40" s="1"/>
  <c r="BY40" s="1"/>
  <c r="CB40" s="1"/>
  <c r="K40"/>
  <c r="L40" s="1"/>
  <c r="BA39"/>
  <c r="BD39" s="1"/>
  <c r="BG39" s="1"/>
  <c r="BJ39" s="1"/>
  <c r="BM39" s="1"/>
  <c r="BP39" s="1"/>
  <c r="BS39" s="1"/>
  <c r="BV39" s="1"/>
  <c r="BY39" s="1"/>
  <c r="CB39" s="1"/>
  <c r="K39"/>
  <c r="L39" s="1"/>
  <c r="BA38"/>
  <c r="BD38" s="1"/>
  <c r="BG38" s="1"/>
  <c r="BJ38" s="1"/>
  <c r="BM38" s="1"/>
  <c r="BP38" s="1"/>
  <c r="BS38" s="1"/>
  <c r="BV38" s="1"/>
  <c r="BY38" s="1"/>
  <c r="CB38" s="1"/>
  <c r="K38"/>
  <c r="L38" s="1"/>
  <c r="BA37"/>
  <c r="BD37" s="1"/>
  <c r="BG37" s="1"/>
  <c r="BJ37" s="1"/>
  <c r="BM37" s="1"/>
  <c r="BP37" s="1"/>
  <c r="BS37" s="1"/>
  <c r="BV37" s="1"/>
  <c r="BY37" s="1"/>
  <c r="CB37" s="1"/>
  <c r="K37"/>
  <c r="L37" s="1"/>
  <c r="BA36"/>
  <c r="BD36" s="1"/>
  <c r="BG36" s="1"/>
  <c r="BJ36" s="1"/>
  <c r="BM36" s="1"/>
  <c r="BP36" s="1"/>
  <c r="BS36" s="1"/>
  <c r="BV36" s="1"/>
  <c r="BY36" s="1"/>
  <c r="CB36" s="1"/>
  <c r="K36"/>
  <c r="L36" s="1"/>
  <c r="BA35"/>
  <c r="BD35" s="1"/>
  <c r="BG35" s="1"/>
  <c r="BJ35" s="1"/>
  <c r="BM35" s="1"/>
  <c r="BP35" s="1"/>
  <c r="BS35" s="1"/>
  <c r="BV35" s="1"/>
  <c r="BY35" s="1"/>
  <c r="CB35" s="1"/>
  <c r="K35"/>
  <c r="L35" s="1"/>
  <c r="BA34"/>
  <c r="BD34" s="1"/>
  <c r="BG34" s="1"/>
  <c r="BJ34" s="1"/>
  <c r="BM34" s="1"/>
  <c r="BP34" s="1"/>
  <c r="BS34" s="1"/>
  <c r="BV34" s="1"/>
  <c r="BY34" s="1"/>
  <c r="CB34" s="1"/>
  <c r="K34"/>
  <c r="L34" s="1"/>
  <c r="BA33"/>
  <c r="BD33" s="1"/>
  <c r="BG33" s="1"/>
  <c r="BJ33" s="1"/>
  <c r="BM33" s="1"/>
  <c r="BP33" s="1"/>
  <c r="BS33" s="1"/>
  <c r="BV33" s="1"/>
  <c r="BY33" s="1"/>
  <c r="CB33" s="1"/>
  <c r="K33"/>
  <c r="L33" s="1"/>
  <c r="BA32"/>
  <c r="BD32" s="1"/>
  <c r="BG32" s="1"/>
  <c r="BJ32" s="1"/>
  <c r="BM32" s="1"/>
  <c r="BP32" s="1"/>
  <c r="BS32" s="1"/>
  <c r="BV32" s="1"/>
  <c r="BY32" s="1"/>
  <c r="CB32" s="1"/>
  <c r="K32"/>
  <c r="L32" s="1"/>
  <c r="BA31"/>
  <c r="BD31" s="1"/>
  <c r="BG31" s="1"/>
  <c r="BJ31" s="1"/>
  <c r="BM31" s="1"/>
  <c r="BP31" s="1"/>
  <c r="BS31" s="1"/>
  <c r="BV31" s="1"/>
  <c r="BY31" s="1"/>
  <c r="CB31" s="1"/>
  <c r="K31"/>
  <c r="L31" s="1"/>
  <c r="BA30"/>
  <c r="BD30" s="1"/>
  <c r="BG30" s="1"/>
  <c r="BJ30" s="1"/>
  <c r="BM30" s="1"/>
  <c r="BP30" s="1"/>
  <c r="BS30" s="1"/>
  <c r="BV30" s="1"/>
  <c r="BY30" s="1"/>
  <c r="CB30" s="1"/>
  <c r="K30"/>
  <c r="L30" s="1"/>
  <c r="BA29"/>
  <c r="BD29" s="1"/>
  <c r="BG29" s="1"/>
  <c r="BJ29" s="1"/>
  <c r="BM29" s="1"/>
  <c r="BP29" s="1"/>
  <c r="BS29" s="1"/>
  <c r="BV29" s="1"/>
  <c r="BY29" s="1"/>
  <c r="CB29" s="1"/>
  <c r="K29"/>
  <c r="L29" s="1"/>
  <c r="BA28"/>
  <c r="BD28" s="1"/>
  <c r="BG28" s="1"/>
  <c r="BJ28" s="1"/>
  <c r="BM28" s="1"/>
  <c r="BP28" s="1"/>
  <c r="BS28" s="1"/>
  <c r="BV28" s="1"/>
  <c r="BY28" s="1"/>
  <c r="CB28" s="1"/>
  <c r="K28"/>
  <c r="L28" s="1"/>
  <c r="BA27"/>
  <c r="BD27" s="1"/>
  <c r="BG27" s="1"/>
  <c r="BJ27" s="1"/>
  <c r="BM27" s="1"/>
  <c r="BP27" s="1"/>
  <c r="BS27" s="1"/>
  <c r="BV27" s="1"/>
  <c r="BY27" s="1"/>
  <c r="CB27" s="1"/>
  <c r="K27"/>
  <c r="L27" s="1"/>
  <c r="BA26"/>
  <c r="BD26" s="1"/>
  <c r="BG26" s="1"/>
  <c r="BJ26" s="1"/>
  <c r="BM26" s="1"/>
  <c r="BP26" s="1"/>
  <c r="BS26" s="1"/>
  <c r="BV26" s="1"/>
  <c r="BY26" s="1"/>
  <c r="CB26" s="1"/>
  <c r="K26"/>
  <c r="L26" s="1"/>
  <c r="BA25"/>
  <c r="BD25" s="1"/>
  <c r="BG25" s="1"/>
  <c r="BJ25" s="1"/>
  <c r="BM25" s="1"/>
  <c r="BP25" s="1"/>
  <c r="BS25" s="1"/>
  <c r="BV25" s="1"/>
  <c r="BY25" s="1"/>
  <c r="CB25" s="1"/>
  <c r="K25"/>
  <c r="BA24"/>
  <c r="BD24" s="1"/>
  <c r="BG24" s="1"/>
  <c r="BJ24" s="1"/>
  <c r="BM24" s="1"/>
  <c r="BP24" s="1"/>
  <c r="BS24" s="1"/>
  <c r="BV24" s="1"/>
  <c r="BY24" s="1"/>
  <c r="CB24" s="1"/>
  <c r="K24"/>
  <c r="L24" s="1"/>
  <c r="BA23"/>
  <c r="BD23" s="1"/>
  <c r="BG23" s="1"/>
  <c r="BJ23" s="1"/>
  <c r="BM23" s="1"/>
  <c r="BP23" s="1"/>
  <c r="BS23" s="1"/>
  <c r="BV23" s="1"/>
  <c r="BY23" s="1"/>
  <c r="CB23" s="1"/>
  <c r="K23"/>
  <c r="L23" s="1"/>
  <c r="BA22"/>
  <c r="BD22" s="1"/>
  <c r="BG22" s="1"/>
  <c r="BJ22" s="1"/>
  <c r="BM22" s="1"/>
  <c r="BP22" s="1"/>
  <c r="BS22" s="1"/>
  <c r="BV22" s="1"/>
  <c r="BY22" s="1"/>
  <c r="CB22" s="1"/>
  <c r="L22"/>
  <c r="K22"/>
  <c r="BA21"/>
  <c r="BD21" s="1"/>
  <c r="BG21" s="1"/>
  <c r="BJ21" s="1"/>
  <c r="BM21" s="1"/>
  <c r="BP21" s="1"/>
  <c r="BS21" s="1"/>
  <c r="BV21" s="1"/>
  <c r="BY21" s="1"/>
  <c r="CB21" s="1"/>
  <c r="K21"/>
  <c r="L21" s="1"/>
  <c r="BA20"/>
  <c r="BD20" s="1"/>
  <c r="BG20" s="1"/>
  <c r="BJ20" s="1"/>
  <c r="BM20" s="1"/>
  <c r="BP20" s="1"/>
  <c r="BS20" s="1"/>
  <c r="BV20" s="1"/>
  <c r="BY20" s="1"/>
  <c r="CB20" s="1"/>
  <c r="K20"/>
  <c r="L20" s="1"/>
  <c r="BA19"/>
  <c r="BD19" s="1"/>
  <c r="BG19" s="1"/>
  <c r="BJ19" s="1"/>
  <c r="BM19" s="1"/>
  <c r="BP19" s="1"/>
  <c r="BS19" s="1"/>
  <c r="BV19" s="1"/>
  <c r="BY19" s="1"/>
  <c r="CB19" s="1"/>
  <c r="K19"/>
  <c r="L19" s="1"/>
  <c r="BA18"/>
  <c r="BD18" s="1"/>
  <c r="BG18" s="1"/>
  <c r="BJ18" s="1"/>
  <c r="BM18" s="1"/>
  <c r="BP18" s="1"/>
  <c r="BS18" s="1"/>
  <c r="BV18" s="1"/>
  <c r="BY18" s="1"/>
  <c r="CB18" s="1"/>
  <c r="K18"/>
  <c r="L18" s="1"/>
  <c r="BA17"/>
  <c r="BD17" s="1"/>
  <c r="BG17" s="1"/>
  <c r="BJ17" s="1"/>
  <c r="BM17" s="1"/>
  <c r="BP17" s="1"/>
  <c r="BS17" s="1"/>
  <c r="BV17" s="1"/>
  <c r="BY17" s="1"/>
  <c r="CB17" s="1"/>
  <c r="K17"/>
  <c r="L17" s="1"/>
  <c r="BA16"/>
  <c r="BD16" s="1"/>
  <c r="BG16" s="1"/>
  <c r="BJ16" s="1"/>
  <c r="BM16" s="1"/>
  <c r="BP16" s="1"/>
  <c r="BS16" s="1"/>
  <c r="BV16" s="1"/>
  <c r="BY16" s="1"/>
  <c r="CB16" s="1"/>
  <c r="K16"/>
  <c r="L16" s="1"/>
  <c r="BA15"/>
  <c r="BD15" s="1"/>
  <c r="BG15" s="1"/>
  <c r="BJ15" s="1"/>
  <c r="BM15" s="1"/>
  <c r="BP15" s="1"/>
  <c r="BS15" s="1"/>
  <c r="BV15" s="1"/>
  <c r="BY15" s="1"/>
  <c r="CB15" s="1"/>
  <c r="K15"/>
  <c r="L15" s="1"/>
  <c r="BA14"/>
  <c r="BD14" s="1"/>
  <c r="BG14" s="1"/>
  <c r="BJ14" s="1"/>
  <c r="BM14" s="1"/>
  <c r="BP14" s="1"/>
  <c r="BS14" s="1"/>
  <c r="BV14" s="1"/>
  <c r="BY14" s="1"/>
  <c r="CB14" s="1"/>
  <c r="K14"/>
  <c r="L14" s="1"/>
  <c r="BA13"/>
  <c r="BD13" s="1"/>
  <c r="BG13" s="1"/>
  <c r="BJ13" s="1"/>
  <c r="BM13" s="1"/>
  <c r="BP13" s="1"/>
  <c r="BS13" s="1"/>
  <c r="BV13" s="1"/>
  <c r="BY13" s="1"/>
  <c r="CB13" s="1"/>
  <c r="K13"/>
  <c r="L13" s="1"/>
  <c r="BA12"/>
  <c r="BD12" s="1"/>
  <c r="BG12" s="1"/>
  <c r="BJ12" s="1"/>
  <c r="BM12" s="1"/>
  <c r="BP12" s="1"/>
  <c r="BS12" s="1"/>
  <c r="BV12" s="1"/>
  <c r="BY12" s="1"/>
  <c r="CB12" s="1"/>
  <c r="K12"/>
  <c r="BA11"/>
  <c r="BD11" s="1"/>
  <c r="BG11" s="1"/>
  <c r="BJ11" s="1"/>
  <c r="BM11" s="1"/>
  <c r="BP11" s="1"/>
  <c r="BS11" s="1"/>
  <c r="BV11" s="1"/>
  <c r="BY11" s="1"/>
  <c r="CB11" s="1"/>
  <c r="K11"/>
  <c r="L11" s="1"/>
  <c r="BA10"/>
  <c r="BD10" s="1"/>
  <c r="BG10" s="1"/>
  <c r="BJ10" s="1"/>
  <c r="BM10" s="1"/>
  <c r="BP10" s="1"/>
  <c r="BS10" s="1"/>
  <c r="BV10" s="1"/>
  <c r="BY10" s="1"/>
  <c r="CB10" s="1"/>
  <c r="K10"/>
  <c r="L10" s="1"/>
  <c r="BA9"/>
  <c r="BD9" s="1"/>
  <c r="BG9" s="1"/>
  <c r="BJ9" s="1"/>
  <c r="BM9" s="1"/>
  <c r="BP9" s="1"/>
  <c r="BS9" s="1"/>
  <c r="BV9" s="1"/>
  <c r="BY9" s="1"/>
  <c r="CB9" s="1"/>
  <c r="K9"/>
  <c r="L9" s="1"/>
  <c r="BA8"/>
  <c r="BD8" s="1"/>
  <c r="BG8" s="1"/>
  <c r="BJ8" s="1"/>
  <c r="BM8" s="1"/>
  <c r="BP8" s="1"/>
  <c r="BS8" s="1"/>
  <c r="BV8" s="1"/>
  <c r="BY8" s="1"/>
  <c r="CB8" s="1"/>
  <c r="K8"/>
  <c r="L8" s="1"/>
  <c r="BA7"/>
  <c r="BD7" s="1"/>
  <c r="BG7" s="1"/>
  <c r="BJ7" s="1"/>
  <c r="BM7" s="1"/>
  <c r="BP7" s="1"/>
  <c r="BS7" s="1"/>
  <c r="BV7" s="1"/>
  <c r="BY7" s="1"/>
  <c r="CB7" s="1"/>
  <c r="K7"/>
  <c r="L7" s="1"/>
  <c r="BA6"/>
  <c r="BD6" s="1"/>
  <c r="BG6" s="1"/>
  <c r="BJ6" s="1"/>
  <c r="BM6" s="1"/>
  <c r="BP6" s="1"/>
  <c r="BS6" s="1"/>
  <c r="BV6" s="1"/>
  <c r="BY6" s="1"/>
  <c r="CB6" s="1"/>
  <c r="L6"/>
  <c r="BA5"/>
  <c r="BD5" s="1"/>
  <c r="BG5" s="1"/>
  <c r="BJ5" s="1"/>
  <c r="BM5" s="1"/>
  <c r="BP5" s="1"/>
  <c r="BS5" s="1"/>
  <c r="BV5" s="1"/>
  <c r="BY5" s="1"/>
  <c r="CB5" s="1"/>
  <c r="K5"/>
  <c r="L5" s="1"/>
  <c r="BA61"/>
  <c r="BD61" s="1"/>
  <c r="BG61" s="1"/>
  <c r="BJ61" s="1"/>
  <c r="BM61" s="1"/>
  <c r="BP61" s="1"/>
  <c r="BS61" s="1"/>
  <c r="BV61" s="1"/>
  <c r="BY61" s="1"/>
  <c r="CB61" s="1"/>
  <c r="K61"/>
  <c r="L61" s="1"/>
  <c r="L12" l="1"/>
  <c r="N5"/>
  <c r="Q5" s="1"/>
  <c r="T5" s="1"/>
  <c r="W5" s="1"/>
  <c r="Z5" s="1"/>
  <c r="AC5" s="1"/>
  <c r="AF5" s="1"/>
  <c r="AI5" s="1"/>
  <c r="AL5" s="1"/>
  <c r="AO5" s="1"/>
  <c r="AR5" s="1"/>
  <c r="AU5" s="1"/>
  <c r="AX5" s="1"/>
  <c r="N6"/>
  <c r="Q6" s="1"/>
  <c r="T6" s="1"/>
  <c r="W6" s="1"/>
  <c r="Z6" s="1"/>
  <c r="AC6" s="1"/>
  <c r="AF6" s="1"/>
  <c r="AI6" s="1"/>
  <c r="AL6" s="1"/>
  <c r="AO6" s="1"/>
  <c r="AR6" s="1"/>
  <c r="AU6" s="1"/>
  <c r="AX6" s="1"/>
  <c r="N7"/>
  <c r="Q7" s="1"/>
  <c r="T7" s="1"/>
  <c r="W7" s="1"/>
  <c r="Z7" s="1"/>
  <c r="AC7" s="1"/>
  <c r="AF7" s="1"/>
  <c r="AI7" s="1"/>
  <c r="AL7" s="1"/>
  <c r="AO7" s="1"/>
  <c r="AR7" s="1"/>
  <c r="AU7" s="1"/>
  <c r="AX7" s="1"/>
  <c r="N8"/>
  <c r="Q8" s="1"/>
  <c r="T8" s="1"/>
  <c r="W8" s="1"/>
  <c r="Z8" s="1"/>
  <c r="AC8" s="1"/>
  <c r="AF8" s="1"/>
  <c r="AI8" s="1"/>
  <c r="AL8" s="1"/>
  <c r="AO8" s="1"/>
  <c r="AR8" s="1"/>
  <c r="AU8" s="1"/>
  <c r="AX8" s="1"/>
  <c r="N9"/>
  <c r="Q9" s="1"/>
  <c r="T9" s="1"/>
  <c r="W9" s="1"/>
  <c r="Z9" s="1"/>
  <c r="AC9" s="1"/>
  <c r="AF9" s="1"/>
  <c r="AI9" s="1"/>
  <c r="AL9" s="1"/>
  <c r="AO9" s="1"/>
  <c r="AR9" s="1"/>
  <c r="AU9" s="1"/>
  <c r="AX9" s="1"/>
  <c r="N10"/>
  <c r="Q10" s="1"/>
  <c r="T10" s="1"/>
  <c r="W10" s="1"/>
  <c r="Z10" s="1"/>
  <c r="AC10" s="1"/>
  <c r="AF10" s="1"/>
  <c r="AI10" s="1"/>
  <c r="AL10" s="1"/>
  <c r="AO10" s="1"/>
  <c r="AR10" s="1"/>
  <c r="AU10" s="1"/>
  <c r="AX10" s="1"/>
  <c r="N11"/>
  <c r="Q11" s="1"/>
  <c r="T11" s="1"/>
  <c r="W11" s="1"/>
  <c r="Z11" s="1"/>
  <c r="AC11" s="1"/>
  <c r="AF11" s="1"/>
  <c r="AI11" s="1"/>
  <c r="AL11" s="1"/>
  <c r="AO11" s="1"/>
  <c r="AR11" s="1"/>
  <c r="AU11" s="1"/>
  <c r="AX11" s="1"/>
  <c r="N12"/>
  <c r="Q12" s="1"/>
  <c r="T12" s="1"/>
  <c r="W12" s="1"/>
  <c r="Z12" s="1"/>
  <c r="AC12" s="1"/>
  <c r="AF12" s="1"/>
  <c r="AI12" s="1"/>
  <c r="AL12" s="1"/>
  <c r="AO12" s="1"/>
  <c r="AR12" s="1"/>
  <c r="AU12" s="1"/>
  <c r="AX12" s="1"/>
  <c r="L25"/>
  <c r="O25" s="1"/>
  <c r="N25"/>
  <c r="Q25" s="1"/>
  <c r="T25" s="1"/>
  <c r="W25" s="1"/>
  <c r="Z25" s="1"/>
  <c r="AC25" s="1"/>
  <c r="AF25" s="1"/>
  <c r="AI25" s="1"/>
  <c r="AL25" s="1"/>
  <c r="AO25" s="1"/>
  <c r="AR25" s="1"/>
  <c r="AU25" s="1"/>
  <c r="AX25" s="1"/>
  <c r="N13"/>
  <c r="N14"/>
  <c r="Q14" s="1"/>
  <c r="T14" s="1"/>
  <c r="W14" s="1"/>
  <c r="Z14" s="1"/>
  <c r="AC14" s="1"/>
  <c r="AF14" s="1"/>
  <c r="AI14" s="1"/>
  <c r="AL14" s="1"/>
  <c r="AO14" s="1"/>
  <c r="AR14" s="1"/>
  <c r="AU14" s="1"/>
  <c r="AX14" s="1"/>
  <c r="N15"/>
  <c r="N16"/>
  <c r="Q16" s="1"/>
  <c r="T16" s="1"/>
  <c r="W16" s="1"/>
  <c r="Z16" s="1"/>
  <c r="AC16" s="1"/>
  <c r="AF16" s="1"/>
  <c r="AI16" s="1"/>
  <c r="AL16" s="1"/>
  <c r="AO16" s="1"/>
  <c r="AR16" s="1"/>
  <c r="AU16" s="1"/>
  <c r="AX16" s="1"/>
  <c r="N17"/>
  <c r="N18"/>
  <c r="Q18" s="1"/>
  <c r="T18" s="1"/>
  <c r="W18" s="1"/>
  <c r="Z18" s="1"/>
  <c r="AC18" s="1"/>
  <c r="AF18" s="1"/>
  <c r="AI18" s="1"/>
  <c r="AL18" s="1"/>
  <c r="AO18" s="1"/>
  <c r="AR18" s="1"/>
  <c r="AU18" s="1"/>
  <c r="AX18" s="1"/>
  <c r="N19"/>
  <c r="N20"/>
  <c r="Q20" s="1"/>
  <c r="T20" s="1"/>
  <c r="W20" s="1"/>
  <c r="Z20" s="1"/>
  <c r="AC20" s="1"/>
  <c r="AF20" s="1"/>
  <c r="AI20" s="1"/>
  <c r="AL20" s="1"/>
  <c r="AO20" s="1"/>
  <c r="AR20" s="1"/>
  <c r="AU20" s="1"/>
  <c r="AX20" s="1"/>
  <c r="N21"/>
  <c r="N22"/>
  <c r="Q22" s="1"/>
  <c r="T22" s="1"/>
  <c r="W22" s="1"/>
  <c r="Z22" s="1"/>
  <c r="AC22" s="1"/>
  <c r="AF22" s="1"/>
  <c r="AI22" s="1"/>
  <c r="AL22" s="1"/>
  <c r="AO22" s="1"/>
  <c r="AR22" s="1"/>
  <c r="AU22" s="1"/>
  <c r="AX22" s="1"/>
  <c r="N23"/>
  <c r="N24"/>
  <c r="Q24" s="1"/>
  <c r="T24" s="1"/>
  <c r="W24" s="1"/>
  <c r="Z24" s="1"/>
  <c r="AC24" s="1"/>
  <c r="AF24" s="1"/>
  <c r="AI24" s="1"/>
  <c r="AL24" s="1"/>
  <c r="AO24" s="1"/>
  <c r="AR24" s="1"/>
  <c r="AU24" s="1"/>
  <c r="AX24" s="1"/>
  <c r="N26"/>
  <c r="Q26" s="1"/>
  <c r="T26" s="1"/>
  <c r="W26" s="1"/>
  <c r="Z26" s="1"/>
  <c r="AC26" s="1"/>
  <c r="AF26" s="1"/>
  <c r="AI26" s="1"/>
  <c r="AL26" s="1"/>
  <c r="AO26" s="1"/>
  <c r="AR26" s="1"/>
  <c r="AU26" s="1"/>
  <c r="AX26" s="1"/>
  <c r="N27"/>
  <c r="N28"/>
  <c r="Q28" s="1"/>
  <c r="T28" s="1"/>
  <c r="W28" s="1"/>
  <c r="Z28" s="1"/>
  <c r="AC28" s="1"/>
  <c r="AF28" s="1"/>
  <c r="AI28" s="1"/>
  <c r="AL28" s="1"/>
  <c r="AO28" s="1"/>
  <c r="AR28" s="1"/>
  <c r="AU28" s="1"/>
  <c r="AX28" s="1"/>
  <c r="N29"/>
  <c r="N30"/>
  <c r="Q30" s="1"/>
  <c r="T30" s="1"/>
  <c r="W30" s="1"/>
  <c r="Z30" s="1"/>
  <c r="AC30" s="1"/>
  <c r="AF30" s="1"/>
  <c r="AI30" s="1"/>
  <c r="AL30" s="1"/>
  <c r="AO30" s="1"/>
  <c r="AR30" s="1"/>
  <c r="AU30" s="1"/>
  <c r="AX30" s="1"/>
  <c r="N31"/>
  <c r="N32"/>
  <c r="Q32" s="1"/>
  <c r="T32" s="1"/>
  <c r="W32" s="1"/>
  <c r="Z32" s="1"/>
  <c r="AC32" s="1"/>
  <c r="AF32" s="1"/>
  <c r="AI32" s="1"/>
  <c r="AL32" s="1"/>
  <c r="AO32" s="1"/>
  <c r="AR32" s="1"/>
  <c r="AU32" s="1"/>
  <c r="AX32" s="1"/>
  <c r="N33"/>
  <c r="N34"/>
  <c r="Q34" s="1"/>
  <c r="T34" s="1"/>
  <c r="W34" s="1"/>
  <c r="Z34" s="1"/>
  <c r="AC34" s="1"/>
  <c r="AF34" s="1"/>
  <c r="AI34" s="1"/>
  <c r="AL34" s="1"/>
  <c r="AO34" s="1"/>
  <c r="AR34" s="1"/>
  <c r="AU34" s="1"/>
  <c r="AX34" s="1"/>
  <c r="N35"/>
  <c r="N36"/>
  <c r="Q36" s="1"/>
  <c r="T36" s="1"/>
  <c r="W36" s="1"/>
  <c r="Z36" s="1"/>
  <c r="AC36" s="1"/>
  <c r="AF36" s="1"/>
  <c r="AI36" s="1"/>
  <c r="AL36" s="1"/>
  <c r="AO36" s="1"/>
  <c r="AR36" s="1"/>
  <c r="AU36" s="1"/>
  <c r="AX36" s="1"/>
  <c r="N37"/>
  <c r="N38"/>
  <c r="Q38" s="1"/>
  <c r="T38" s="1"/>
  <c r="W38" s="1"/>
  <c r="Z38" s="1"/>
  <c r="AC38" s="1"/>
  <c r="AF38" s="1"/>
  <c r="AI38" s="1"/>
  <c r="AL38" s="1"/>
  <c r="AO38" s="1"/>
  <c r="AR38" s="1"/>
  <c r="AU38" s="1"/>
  <c r="AX38" s="1"/>
  <c r="N39"/>
  <c r="N40"/>
  <c r="Q40" s="1"/>
  <c r="T40" s="1"/>
  <c r="W40" s="1"/>
  <c r="Z40" s="1"/>
  <c r="AC40" s="1"/>
  <c r="AF40" s="1"/>
  <c r="AI40" s="1"/>
  <c r="AL40" s="1"/>
  <c r="AO40" s="1"/>
  <c r="AR40" s="1"/>
  <c r="AU40" s="1"/>
  <c r="AX40" s="1"/>
  <c r="N41"/>
  <c r="N42"/>
  <c r="Q42" s="1"/>
  <c r="T42" s="1"/>
  <c r="W42" s="1"/>
  <c r="Z42" s="1"/>
  <c r="AC42" s="1"/>
  <c r="AF42" s="1"/>
  <c r="AI42" s="1"/>
  <c r="AL42" s="1"/>
  <c r="AO42" s="1"/>
  <c r="AR42" s="1"/>
  <c r="AU42" s="1"/>
  <c r="AX42" s="1"/>
  <c r="N43"/>
  <c r="Q43" s="1"/>
  <c r="T43" s="1"/>
  <c r="W43" s="1"/>
  <c r="Z43" s="1"/>
  <c r="AC43" s="1"/>
  <c r="AF43" s="1"/>
  <c r="AI43" s="1"/>
  <c r="AL43" s="1"/>
  <c r="AO43" s="1"/>
  <c r="AR43" s="1"/>
  <c r="AU43" s="1"/>
  <c r="AX43" s="1"/>
  <c r="N44"/>
  <c r="Q44" s="1"/>
  <c r="T44" s="1"/>
  <c r="W44" s="1"/>
  <c r="Z44" s="1"/>
  <c r="AC44" s="1"/>
  <c r="AF44" s="1"/>
  <c r="AI44" s="1"/>
  <c r="AL44" s="1"/>
  <c r="AO44" s="1"/>
  <c r="AR44" s="1"/>
  <c r="AU44" s="1"/>
  <c r="AX44" s="1"/>
  <c r="N45"/>
  <c r="N46"/>
  <c r="Q46" s="1"/>
  <c r="T46" s="1"/>
  <c r="W46" s="1"/>
  <c r="Z46" s="1"/>
  <c r="AC46" s="1"/>
  <c r="AF46" s="1"/>
  <c r="AI46" s="1"/>
  <c r="AL46" s="1"/>
  <c r="AO46" s="1"/>
  <c r="AR46" s="1"/>
  <c r="AU46" s="1"/>
  <c r="AX46" s="1"/>
  <c r="N47"/>
  <c r="N48"/>
  <c r="Q48" s="1"/>
  <c r="T48" s="1"/>
  <c r="W48" s="1"/>
  <c r="Z48" s="1"/>
  <c r="AC48" s="1"/>
  <c r="AF48" s="1"/>
  <c r="AI48" s="1"/>
  <c r="AL48" s="1"/>
  <c r="AO48" s="1"/>
  <c r="AR48" s="1"/>
  <c r="AU48" s="1"/>
  <c r="AX48" s="1"/>
  <c r="N49"/>
  <c r="N50"/>
  <c r="Q50" s="1"/>
  <c r="T50" s="1"/>
  <c r="W50" s="1"/>
  <c r="Z50" s="1"/>
  <c r="AC50" s="1"/>
  <c r="AF50" s="1"/>
  <c r="AI50" s="1"/>
  <c r="AL50" s="1"/>
  <c r="AO50" s="1"/>
  <c r="AR50" s="1"/>
  <c r="AU50" s="1"/>
  <c r="AX50" s="1"/>
  <c r="N51"/>
  <c r="Q51" s="1"/>
  <c r="T51" s="1"/>
  <c r="W51" s="1"/>
  <c r="Z51" s="1"/>
  <c r="AC51" s="1"/>
  <c r="AF51" s="1"/>
  <c r="AI51" s="1"/>
  <c r="AL51" s="1"/>
  <c r="AO51" s="1"/>
  <c r="AR51" s="1"/>
  <c r="AU51" s="1"/>
  <c r="AX51" s="1"/>
  <c r="N52"/>
  <c r="Q52" s="1"/>
  <c r="T52" s="1"/>
  <c r="W52" s="1"/>
  <c r="Z52" s="1"/>
  <c r="AC52" s="1"/>
  <c r="AF52" s="1"/>
  <c r="AI52" s="1"/>
  <c r="AL52" s="1"/>
  <c r="AO52" s="1"/>
  <c r="AR52" s="1"/>
  <c r="AU52" s="1"/>
  <c r="AX52" s="1"/>
  <c r="N53"/>
  <c r="Q53" s="1"/>
  <c r="T53" s="1"/>
  <c r="W53" s="1"/>
  <c r="Z53" s="1"/>
  <c r="AC53" s="1"/>
  <c r="AF53" s="1"/>
  <c r="AI53" s="1"/>
  <c r="AL53" s="1"/>
  <c r="AO53" s="1"/>
  <c r="AR53" s="1"/>
  <c r="AU53" s="1"/>
  <c r="AX53" s="1"/>
  <c r="N54"/>
  <c r="Q54" s="1"/>
  <c r="T54" s="1"/>
  <c r="W54" s="1"/>
  <c r="Z54" s="1"/>
  <c r="AC54" s="1"/>
  <c r="AF54" s="1"/>
  <c r="AI54" s="1"/>
  <c r="AL54" s="1"/>
  <c r="AO54" s="1"/>
  <c r="AR54" s="1"/>
  <c r="AU54" s="1"/>
  <c r="AX54" s="1"/>
  <c r="N55"/>
  <c r="Q55" s="1"/>
  <c r="T55" s="1"/>
  <c r="W55" s="1"/>
  <c r="Z55" s="1"/>
  <c r="AC55" s="1"/>
  <c r="AF55" s="1"/>
  <c r="AI55" s="1"/>
  <c r="AL55" s="1"/>
  <c r="AO55" s="1"/>
  <c r="AR55" s="1"/>
  <c r="AU55" s="1"/>
  <c r="AX55" s="1"/>
  <c r="N56"/>
  <c r="Q56" s="1"/>
  <c r="T56" s="1"/>
  <c r="W56" s="1"/>
  <c r="Z56" s="1"/>
  <c r="AC56" s="1"/>
  <c r="AF56" s="1"/>
  <c r="AI56" s="1"/>
  <c r="AL56" s="1"/>
  <c r="AO56" s="1"/>
  <c r="AR56" s="1"/>
  <c r="AU56" s="1"/>
  <c r="AX56" s="1"/>
  <c r="N57"/>
  <c r="Q57" s="1"/>
  <c r="T57" s="1"/>
  <c r="W57" s="1"/>
  <c r="Z57" s="1"/>
  <c r="AC57" s="1"/>
  <c r="AF57" s="1"/>
  <c r="AI57" s="1"/>
  <c r="AL57" s="1"/>
  <c r="AO57" s="1"/>
  <c r="AR57" s="1"/>
  <c r="AU57" s="1"/>
  <c r="AX57" s="1"/>
  <c r="N58"/>
  <c r="Q58" s="1"/>
  <c r="T58" s="1"/>
  <c r="W58" s="1"/>
  <c r="Z58" s="1"/>
  <c r="AC58" s="1"/>
  <c r="AF58" s="1"/>
  <c r="AI58" s="1"/>
  <c r="AL58" s="1"/>
  <c r="AO58" s="1"/>
  <c r="AR58" s="1"/>
  <c r="AU58" s="1"/>
  <c r="AX58" s="1"/>
  <c r="N59"/>
  <c r="Q59" s="1"/>
  <c r="T59" s="1"/>
  <c r="W59" s="1"/>
  <c r="Z59" s="1"/>
  <c r="AC59" s="1"/>
  <c r="AF59" s="1"/>
  <c r="AI59" s="1"/>
  <c r="AL59" s="1"/>
  <c r="AO59" s="1"/>
  <c r="AR59" s="1"/>
  <c r="AU59" s="1"/>
  <c r="AX59" s="1"/>
  <c r="N60"/>
  <c r="Q60" s="1"/>
  <c r="T60" s="1"/>
  <c r="W60" s="1"/>
  <c r="Z60" s="1"/>
  <c r="AC60" s="1"/>
  <c r="AF60" s="1"/>
  <c r="AI60" s="1"/>
  <c r="AL60" s="1"/>
  <c r="AO60" s="1"/>
  <c r="AR60" s="1"/>
  <c r="AU60" s="1"/>
  <c r="AX60" s="1"/>
  <c r="N61"/>
  <c r="O43" l="1"/>
  <c r="R43" s="1"/>
  <c r="U43" s="1"/>
  <c r="X43" s="1"/>
  <c r="AA43" s="1"/>
  <c r="O60"/>
  <c r="R60" s="1"/>
  <c r="O44"/>
  <c r="R44" s="1"/>
  <c r="U44" s="1"/>
  <c r="Q47"/>
  <c r="T47" s="1"/>
  <c r="W47" s="1"/>
  <c r="Z47" s="1"/>
  <c r="AC47" s="1"/>
  <c r="AF47" s="1"/>
  <c r="AI47" s="1"/>
  <c r="AL47" s="1"/>
  <c r="AO47" s="1"/>
  <c r="AR47" s="1"/>
  <c r="AU47" s="1"/>
  <c r="AX47" s="1"/>
  <c r="O47"/>
  <c r="Q45"/>
  <c r="T45" s="1"/>
  <c r="W45" s="1"/>
  <c r="Z45" s="1"/>
  <c r="AC45" s="1"/>
  <c r="AF45" s="1"/>
  <c r="AI45" s="1"/>
  <c r="AL45" s="1"/>
  <c r="AO45" s="1"/>
  <c r="AR45" s="1"/>
  <c r="AU45" s="1"/>
  <c r="AX45" s="1"/>
  <c r="O45"/>
  <c r="Q41"/>
  <c r="T41" s="1"/>
  <c r="W41" s="1"/>
  <c r="Z41" s="1"/>
  <c r="AC41" s="1"/>
  <c r="AF41" s="1"/>
  <c r="AI41" s="1"/>
  <c r="AL41" s="1"/>
  <c r="AO41" s="1"/>
  <c r="AR41" s="1"/>
  <c r="AU41" s="1"/>
  <c r="AX41" s="1"/>
  <c r="O41"/>
  <c r="Q39"/>
  <c r="T39" s="1"/>
  <c r="W39" s="1"/>
  <c r="Z39" s="1"/>
  <c r="AC39" s="1"/>
  <c r="AF39" s="1"/>
  <c r="AI39" s="1"/>
  <c r="AL39" s="1"/>
  <c r="AO39" s="1"/>
  <c r="AR39" s="1"/>
  <c r="AU39" s="1"/>
  <c r="AX39" s="1"/>
  <c r="O39"/>
  <c r="Q37"/>
  <c r="T37" s="1"/>
  <c r="W37" s="1"/>
  <c r="Z37" s="1"/>
  <c r="AC37" s="1"/>
  <c r="AF37" s="1"/>
  <c r="AI37" s="1"/>
  <c r="AL37" s="1"/>
  <c r="AO37" s="1"/>
  <c r="AR37" s="1"/>
  <c r="AU37" s="1"/>
  <c r="AX37" s="1"/>
  <c r="O37"/>
  <c r="Q35"/>
  <c r="T35" s="1"/>
  <c r="W35" s="1"/>
  <c r="Z35" s="1"/>
  <c r="AC35" s="1"/>
  <c r="AF35" s="1"/>
  <c r="AI35" s="1"/>
  <c r="AL35" s="1"/>
  <c r="AO35" s="1"/>
  <c r="AR35" s="1"/>
  <c r="AU35" s="1"/>
  <c r="AX35" s="1"/>
  <c r="O35"/>
  <c r="Q33"/>
  <c r="T33" s="1"/>
  <c r="W33" s="1"/>
  <c r="Z33" s="1"/>
  <c r="AC33" s="1"/>
  <c r="AF33" s="1"/>
  <c r="AI33" s="1"/>
  <c r="AL33" s="1"/>
  <c r="AO33" s="1"/>
  <c r="AR33" s="1"/>
  <c r="AU33" s="1"/>
  <c r="AX33" s="1"/>
  <c r="O33"/>
  <c r="Q31"/>
  <c r="T31" s="1"/>
  <c r="W31" s="1"/>
  <c r="Z31" s="1"/>
  <c r="AC31" s="1"/>
  <c r="AF31" s="1"/>
  <c r="AI31" s="1"/>
  <c r="AL31" s="1"/>
  <c r="AO31" s="1"/>
  <c r="AR31" s="1"/>
  <c r="AU31" s="1"/>
  <c r="AX31" s="1"/>
  <c r="O31"/>
  <c r="Q29"/>
  <c r="T29" s="1"/>
  <c r="W29" s="1"/>
  <c r="Z29" s="1"/>
  <c r="AC29" s="1"/>
  <c r="AF29" s="1"/>
  <c r="AI29" s="1"/>
  <c r="AL29" s="1"/>
  <c r="AO29" s="1"/>
  <c r="AR29" s="1"/>
  <c r="AU29" s="1"/>
  <c r="AX29" s="1"/>
  <c r="O29"/>
  <c r="Q27"/>
  <c r="T27" s="1"/>
  <c r="W27" s="1"/>
  <c r="Z27" s="1"/>
  <c r="AC27" s="1"/>
  <c r="AF27" s="1"/>
  <c r="AI27" s="1"/>
  <c r="AL27" s="1"/>
  <c r="AO27" s="1"/>
  <c r="AR27" s="1"/>
  <c r="AU27" s="1"/>
  <c r="AX27" s="1"/>
  <c r="O27"/>
  <c r="Q23"/>
  <c r="T23" s="1"/>
  <c r="W23" s="1"/>
  <c r="Z23" s="1"/>
  <c r="AC23" s="1"/>
  <c r="AF23" s="1"/>
  <c r="AI23" s="1"/>
  <c r="AL23" s="1"/>
  <c r="AO23" s="1"/>
  <c r="AR23" s="1"/>
  <c r="AU23" s="1"/>
  <c r="AX23" s="1"/>
  <c r="O23"/>
  <c r="Q21"/>
  <c r="T21" s="1"/>
  <c r="W21" s="1"/>
  <c r="Z21" s="1"/>
  <c r="AC21" s="1"/>
  <c r="AF21" s="1"/>
  <c r="AI21" s="1"/>
  <c r="AL21" s="1"/>
  <c r="AO21" s="1"/>
  <c r="AR21" s="1"/>
  <c r="AU21" s="1"/>
  <c r="AX21" s="1"/>
  <c r="O21"/>
  <c r="Q19"/>
  <c r="T19" s="1"/>
  <c r="W19" s="1"/>
  <c r="Z19" s="1"/>
  <c r="AC19" s="1"/>
  <c r="AF19" s="1"/>
  <c r="AI19" s="1"/>
  <c r="AL19" s="1"/>
  <c r="AO19" s="1"/>
  <c r="AR19" s="1"/>
  <c r="AU19" s="1"/>
  <c r="AX19" s="1"/>
  <c r="O19"/>
  <c r="Q17"/>
  <c r="T17" s="1"/>
  <c r="W17" s="1"/>
  <c r="Z17" s="1"/>
  <c r="AC17" s="1"/>
  <c r="AF17" s="1"/>
  <c r="AI17" s="1"/>
  <c r="AL17" s="1"/>
  <c r="AO17" s="1"/>
  <c r="AR17" s="1"/>
  <c r="AU17" s="1"/>
  <c r="AX17" s="1"/>
  <c r="O17"/>
  <c r="Q15"/>
  <c r="T15" s="1"/>
  <c r="W15" s="1"/>
  <c r="Z15" s="1"/>
  <c r="AC15" s="1"/>
  <c r="AF15" s="1"/>
  <c r="AI15" s="1"/>
  <c r="AL15" s="1"/>
  <c r="AO15" s="1"/>
  <c r="AR15" s="1"/>
  <c r="AU15" s="1"/>
  <c r="AX15" s="1"/>
  <c r="O15"/>
  <c r="Q13"/>
  <c r="T13" s="1"/>
  <c r="W13" s="1"/>
  <c r="Z13" s="1"/>
  <c r="AC13" s="1"/>
  <c r="AF13" s="1"/>
  <c r="AI13" s="1"/>
  <c r="AL13" s="1"/>
  <c r="AO13" s="1"/>
  <c r="AR13" s="1"/>
  <c r="AU13" s="1"/>
  <c r="AX13" s="1"/>
  <c r="O13"/>
  <c r="O59"/>
  <c r="O57"/>
  <c r="O55"/>
  <c r="R55" s="1"/>
  <c r="U55" s="1"/>
  <c r="O53"/>
  <c r="O51"/>
  <c r="R51" s="1"/>
  <c r="U51" s="1"/>
  <c r="O58"/>
  <c r="O56"/>
  <c r="R56" s="1"/>
  <c r="U56" s="1"/>
  <c r="O54"/>
  <c r="R53"/>
  <c r="O52"/>
  <c r="O50"/>
  <c r="R50" s="1"/>
  <c r="O48"/>
  <c r="R48" s="1"/>
  <c r="O46"/>
  <c r="O42"/>
  <c r="R41"/>
  <c r="O40"/>
  <c r="R39"/>
  <c r="O38"/>
  <c r="O36"/>
  <c r="O34"/>
  <c r="R33"/>
  <c r="O32"/>
  <c r="R31"/>
  <c r="O30"/>
  <c r="O28"/>
  <c r="O26"/>
  <c r="O24"/>
  <c r="O7"/>
  <c r="R7" s="1"/>
  <c r="U7" s="1"/>
  <c r="O5"/>
  <c r="R23"/>
  <c r="O22"/>
  <c r="O18"/>
  <c r="R15"/>
  <c r="U15" s="1"/>
  <c r="O14"/>
  <c r="R14" s="1"/>
  <c r="O12"/>
  <c r="R12" s="1"/>
  <c r="O10"/>
  <c r="R10" s="1"/>
  <c r="O9"/>
  <c r="R9" s="1"/>
  <c r="O8"/>
  <c r="R8" s="1"/>
  <c r="U8" s="1"/>
  <c r="Q49"/>
  <c r="T49" s="1"/>
  <c r="W49" s="1"/>
  <c r="Z49" s="1"/>
  <c r="AC49" s="1"/>
  <c r="AF49" s="1"/>
  <c r="AI49" s="1"/>
  <c r="AL49" s="1"/>
  <c r="AO49" s="1"/>
  <c r="AR49" s="1"/>
  <c r="AU49" s="1"/>
  <c r="AX49" s="1"/>
  <c r="O49"/>
  <c r="R54"/>
  <c r="R52"/>
  <c r="U52" s="1"/>
  <c r="R46"/>
  <c r="U46" s="1"/>
  <c r="R28"/>
  <c r="U28" s="1"/>
  <c r="R25"/>
  <c r="R24"/>
  <c r="R22"/>
  <c r="U22" s="1"/>
  <c r="R18"/>
  <c r="U18" s="1"/>
  <c r="O6"/>
  <c r="R21"/>
  <c r="O20"/>
  <c r="R17"/>
  <c r="O16"/>
  <c r="O11"/>
  <c r="Q61"/>
  <c r="T61" s="1"/>
  <c r="W61" s="1"/>
  <c r="Z61" s="1"/>
  <c r="AC61" s="1"/>
  <c r="AF61" s="1"/>
  <c r="AI61" s="1"/>
  <c r="AL61" s="1"/>
  <c r="AO61" s="1"/>
  <c r="AR61" s="1"/>
  <c r="AU61" s="1"/>
  <c r="AX61" s="1"/>
  <c r="O61"/>
  <c r="R19" l="1"/>
  <c r="R29"/>
  <c r="R37"/>
  <c r="R47"/>
  <c r="R13"/>
  <c r="U53"/>
  <c r="X53" s="1"/>
  <c r="AA53" s="1"/>
  <c r="U31"/>
  <c r="X31" s="1"/>
  <c r="AA31" s="1"/>
  <c r="X44"/>
  <c r="AA44" s="1"/>
  <c r="U60"/>
  <c r="R59"/>
  <c r="U59" s="1"/>
  <c r="R5"/>
  <c r="U5" s="1"/>
  <c r="R27"/>
  <c r="R35"/>
  <c r="R45"/>
  <c r="U45" s="1"/>
  <c r="R57"/>
  <c r="U14"/>
  <c r="U35"/>
  <c r="AD43"/>
  <c r="AD44"/>
  <c r="AG44" s="1"/>
  <c r="X15"/>
  <c r="AA15" s="1"/>
  <c r="AD15" s="1"/>
  <c r="AG15" s="1"/>
  <c r="U25"/>
  <c r="R11"/>
  <c r="U11" s="1"/>
  <c r="U12"/>
  <c r="X8"/>
  <c r="AA8" s="1"/>
  <c r="U10"/>
  <c r="X10" s="1"/>
  <c r="R20"/>
  <c r="X22"/>
  <c r="AA22" s="1"/>
  <c r="R26"/>
  <c r="U29"/>
  <c r="R34"/>
  <c r="R36"/>
  <c r="R42"/>
  <c r="R49"/>
  <c r="X46"/>
  <c r="U13"/>
  <c r="U17"/>
  <c r="U21"/>
  <c r="U37"/>
  <c r="U39"/>
  <c r="U41"/>
  <c r="U47"/>
  <c r="R58"/>
  <c r="X60"/>
  <c r="AA60" s="1"/>
  <c r="U9"/>
  <c r="X9" s="1"/>
  <c r="AA9" s="1"/>
  <c r="U27"/>
  <c r="R32"/>
  <c r="R38"/>
  <c r="U48"/>
  <c r="X48" s="1"/>
  <c r="U50"/>
  <c r="X51"/>
  <c r="U54"/>
  <c r="X55"/>
  <c r="X7"/>
  <c r="AA7" s="1"/>
  <c r="U20"/>
  <c r="R6"/>
  <c r="R16"/>
  <c r="X18"/>
  <c r="U24"/>
  <c r="X25"/>
  <c r="X28"/>
  <c r="R30"/>
  <c r="U33"/>
  <c r="R40"/>
  <c r="AA46"/>
  <c r="AG43"/>
  <c r="X52"/>
  <c r="X56"/>
  <c r="U19"/>
  <c r="U23"/>
  <c r="R61"/>
  <c r="U61" s="1"/>
  <c r="X61" s="1"/>
  <c r="AA61" s="1"/>
  <c r="X45" l="1"/>
  <c r="AA10"/>
  <c r="AD10" s="1"/>
  <c r="X59"/>
  <c r="X35"/>
  <c r="AA35" s="1"/>
  <c r="AD35" s="1"/>
  <c r="U57"/>
  <c r="AA45"/>
  <c r="AD45" s="1"/>
  <c r="X5"/>
  <c r="AA5" s="1"/>
  <c r="X21"/>
  <c r="AA21" s="1"/>
  <c r="X13"/>
  <c r="AA13" s="1"/>
  <c r="AA59"/>
  <c r="X11"/>
  <c r="X14"/>
  <c r="AA14" s="1"/>
  <c r="AD60"/>
  <c r="AG60" s="1"/>
  <c r="X23"/>
  <c r="X19"/>
  <c r="AA19" s="1"/>
  <c r="U30"/>
  <c r="U32"/>
  <c r="AD9"/>
  <c r="X47"/>
  <c r="X39"/>
  <c r="AD46"/>
  <c r="AG46" s="1"/>
  <c r="U42"/>
  <c r="U36"/>
  <c r="X36" s="1"/>
  <c r="X29"/>
  <c r="U26"/>
  <c r="AD8"/>
  <c r="AG8" s="1"/>
  <c r="AA48"/>
  <c r="AD48" s="1"/>
  <c r="AA28"/>
  <c r="AD28" s="1"/>
  <c r="AG28" s="1"/>
  <c r="U6"/>
  <c r="X20"/>
  <c r="AA20" s="1"/>
  <c r="AA55"/>
  <c r="AA51"/>
  <c r="AD51" s="1"/>
  <c r="AA56"/>
  <c r="AA52"/>
  <c r="X32"/>
  <c r="X17"/>
  <c r="AG10"/>
  <c r="AJ10" s="1"/>
  <c r="AJ44"/>
  <c r="AM44" s="1"/>
  <c r="AP44" s="1"/>
  <c r="U40"/>
  <c r="X33"/>
  <c r="AA33" s="1"/>
  <c r="X24"/>
  <c r="AD7"/>
  <c r="AG7" s="1"/>
  <c r="AJ7" s="1"/>
  <c r="U38"/>
  <c r="X38" s="1"/>
  <c r="X27"/>
  <c r="AA27" s="1"/>
  <c r="U58"/>
  <c r="X41"/>
  <c r="X37"/>
  <c r="AA37" s="1"/>
  <c r="U49"/>
  <c r="U34"/>
  <c r="X12"/>
  <c r="AD31"/>
  <c r="AD22"/>
  <c r="AD21"/>
  <c r="AA11"/>
  <c r="AA23"/>
  <c r="X58"/>
  <c r="X54"/>
  <c r="X50"/>
  <c r="AD55"/>
  <c r="AD53"/>
  <c r="AA18"/>
  <c r="AD18" s="1"/>
  <c r="U16"/>
  <c r="AA25"/>
  <c r="AA39"/>
  <c r="AJ43"/>
  <c r="AJ15"/>
  <c r="AD61"/>
  <c r="AD5" l="1"/>
  <c r="AG5" s="1"/>
  <c r="AJ5" s="1"/>
  <c r="AG45"/>
  <c r="AJ45" s="1"/>
  <c r="AM45" s="1"/>
  <c r="AD14"/>
  <c r="AG14" s="1"/>
  <c r="AJ14" s="1"/>
  <c r="AG35"/>
  <c r="AJ35" s="1"/>
  <c r="X57"/>
  <c r="X30"/>
  <c r="AD59"/>
  <c r="AG59" s="1"/>
  <c r="AJ59" s="1"/>
  <c r="AD13"/>
  <c r="AG13" s="1"/>
  <c r="AJ13" s="1"/>
  <c r="AS44"/>
  <c r="AV44" s="1"/>
  <c r="AY44" s="1"/>
  <c r="AA12"/>
  <c r="AG51"/>
  <c r="AD20"/>
  <c r="AJ8"/>
  <c r="AA36"/>
  <c r="AD36" s="1"/>
  <c r="AG36" s="1"/>
  <c r="AJ46"/>
  <c r="AD39"/>
  <c r="AG39" s="1"/>
  <c r="AJ39" s="1"/>
  <c r="AA47"/>
  <c r="AD47" s="1"/>
  <c r="AD33"/>
  <c r="X34"/>
  <c r="AM7"/>
  <c r="AA24"/>
  <c r="AJ28"/>
  <c r="AG21"/>
  <c r="AG22"/>
  <c r="AD24"/>
  <c r="AD25"/>
  <c r="AG31"/>
  <c r="X40"/>
  <c r="X26"/>
  <c r="X42"/>
  <c r="AG9"/>
  <c r="AG48"/>
  <c r="AJ51"/>
  <c r="X6"/>
  <c r="AA6" s="1"/>
  <c r="AG18"/>
  <c r="AD52"/>
  <c r="AG52" s="1"/>
  <c r="AG53"/>
  <c r="AD19"/>
  <c r="AJ60"/>
  <c r="AD37"/>
  <c r="AD27"/>
  <c r="AA38"/>
  <c r="AD38" s="1"/>
  <c r="AA17"/>
  <c r="AG55"/>
  <c r="AJ55" s="1"/>
  <c r="AA42"/>
  <c r="AD42" s="1"/>
  <c r="AA32"/>
  <c r="AD32" s="1"/>
  <c r="AM43"/>
  <c r="AP43" s="1"/>
  <c r="AD23"/>
  <c r="AG23" s="1"/>
  <c r="AM13"/>
  <c r="X49"/>
  <c r="AA58"/>
  <c r="AG25"/>
  <c r="AJ25" s="1"/>
  <c r="AM10"/>
  <c r="AP10" s="1"/>
  <c r="AD11"/>
  <c r="AA50"/>
  <c r="AA54"/>
  <c r="AM15"/>
  <c r="AA30"/>
  <c r="AA40"/>
  <c r="AD40" s="1"/>
  <c r="AA29"/>
  <c r="AD17"/>
  <c r="X16"/>
  <c r="AJ53"/>
  <c r="AM53" s="1"/>
  <c r="AP53" s="1"/>
  <c r="AS53" s="1"/>
  <c r="AV53" s="1"/>
  <c r="AY53" s="1"/>
  <c r="AD56"/>
  <c r="AA41"/>
  <c r="AG61"/>
  <c r="AG32" l="1"/>
  <c r="AJ32" s="1"/>
  <c r="AA57"/>
  <c r="AD57" s="1"/>
  <c r="AS10"/>
  <c r="AV10" s="1"/>
  <c r="AY10" s="1"/>
  <c r="AM39"/>
  <c r="AP39" s="1"/>
  <c r="AS39" s="1"/>
  <c r="AV39" s="1"/>
  <c r="AY39" s="1"/>
  <c r="AM55"/>
  <c r="AP55" s="1"/>
  <c r="AS55" s="1"/>
  <c r="AV55" s="1"/>
  <c r="AY55" s="1"/>
  <c r="BB53"/>
  <c r="BE53" s="1"/>
  <c r="BH53" s="1"/>
  <c r="CE53"/>
  <c r="CE44"/>
  <c r="BE44"/>
  <c r="BB44"/>
  <c r="BW44"/>
  <c r="BZ44" s="1"/>
  <c r="CC44"/>
  <c r="AP45"/>
  <c r="AS45" s="1"/>
  <c r="AV45" s="1"/>
  <c r="AY45" s="1"/>
  <c r="AG17"/>
  <c r="AM35"/>
  <c r="AP35" s="1"/>
  <c r="AJ48"/>
  <c r="AM48" s="1"/>
  <c r="AP48" s="1"/>
  <c r="AS48" s="1"/>
  <c r="AV48" s="1"/>
  <c r="AY48" s="1"/>
  <c r="CE48" s="1"/>
  <c r="AJ9"/>
  <c r="AM9" s="1"/>
  <c r="AP9" s="1"/>
  <c r="AS9" s="1"/>
  <c r="AV9" s="1"/>
  <c r="AY9" s="1"/>
  <c r="CE9" s="1"/>
  <c r="AJ31"/>
  <c r="AM31" s="1"/>
  <c r="AP31" s="1"/>
  <c r="AS31" s="1"/>
  <c r="AV31" s="1"/>
  <c r="AY31" s="1"/>
  <c r="AA16"/>
  <c r="AD16" s="1"/>
  <c r="AG16" s="1"/>
  <c r="AJ16" s="1"/>
  <c r="AM16" s="1"/>
  <c r="AP16" s="1"/>
  <c r="AS16" s="1"/>
  <c r="AP15"/>
  <c r="AS15" s="1"/>
  <c r="AV15" s="1"/>
  <c r="AY15" s="1"/>
  <c r="CE15" s="1"/>
  <c r="AD29"/>
  <c r="AG29" s="1"/>
  <c r="AJ29" s="1"/>
  <c r="AM29" s="1"/>
  <c r="AP29" s="1"/>
  <c r="AS29" s="1"/>
  <c r="AV29" s="1"/>
  <c r="AY29" s="1"/>
  <c r="AD50"/>
  <c r="AG50" s="1"/>
  <c r="AJ50" s="1"/>
  <c r="AM50" s="1"/>
  <c r="AP50" s="1"/>
  <c r="AS50" s="1"/>
  <c r="AV50" s="1"/>
  <c r="AY50" s="1"/>
  <c r="AJ23"/>
  <c r="AG56"/>
  <c r="AJ56" s="1"/>
  <c r="AM56" s="1"/>
  <c r="AP56" s="1"/>
  <c r="AS56" s="1"/>
  <c r="AV56" s="1"/>
  <c r="AY56" s="1"/>
  <c r="CC53"/>
  <c r="AG40"/>
  <c r="AJ40" s="1"/>
  <c r="AM40" s="1"/>
  <c r="AP40" s="1"/>
  <c r="AG38"/>
  <c r="AJ18"/>
  <c r="AD54"/>
  <c r="AS43"/>
  <c r="AP7"/>
  <c r="AS7" s="1"/>
  <c r="AV7" s="1"/>
  <c r="AY7" s="1"/>
  <c r="CE7" s="1"/>
  <c r="AD30"/>
  <c r="AM60"/>
  <c r="AG19"/>
  <c r="AJ52"/>
  <c r="AM52" s="1"/>
  <c r="AP52" s="1"/>
  <c r="AS52" s="1"/>
  <c r="AV52" s="1"/>
  <c r="AY52" s="1"/>
  <c r="AD6"/>
  <c r="AG6" s="1"/>
  <c r="AJ6" s="1"/>
  <c r="AM6" s="1"/>
  <c r="AP6" s="1"/>
  <c r="AS6" s="1"/>
  <c r="AV6" s="1"/>
  <c r="AY6" s="1"/>
  <c r="AM28"/>
  <c r="AP28" s="1"/>
  <c r="AG33"/>
  <c r="AG47"/>
  <c r="AM46"/>
  <c r="AM8"/>
  <c r="AP8" s="1"/>
  <c r="AS8" s="1"/>
  <c r="AV8" s="1"/>
  <c r="AY8" s="1"/>
  <c r="AG20"/>
  <c r="AJ20" s="1"/>
  <c r="AM20" s="1"/>
  <c r="AP20" s="1"/>
  <c r="AS20" s="1"/>
  <c r="AV20" s="1"/>
  <c r="AY20" s="1"/>
  <c r="AM14"/>
  <c r="AP14" s="1"/>
  <c r="AS14" s="1"/>
  <c r="AV14" s="1"/>
  <c r="AY14" s="1"/>
  <c r="AG11"/>
  <c r="AJ11" s="1"/>
  <c r="AM11" s="1"/>
  <c r="AP11" s="1"/>
  <c r="AS11" s="1"/>
  <c r="AV11" s="1"/>
  <c r="AY11" s="1"/>
  <c r="AM5"/>
  <c r="AJ17"/>
  <c r="AD41"/>
  <c r="AG41" s="1"/>
  <c r="AJ41" s="1"/>
  <c r="AM41" s="1"/>
  <c r="AP41" s="1"/>
  <c r="AS41" s="1"/>
  <c r="AG37"/>
  <c r="AJ37" s="1"/>
  <c r="AM37" s="1"/>
  <c r="AP37" s="1"/>
  <c r="BK53"/>
  <c r="BN53" s="1"/>
  <c r="BQ53" s="1"/>
  <c r="BT53" s="1"/>
  <c r="BW53" s="1"/>
  <c r="BZ53" s="1"/>
  <c r="AG54"/>
  <c r="AJ54" s="1"/>
  <c r="AM54" s="1"/>
  <c r="AP54" s="1"/>
  <c r="AS54" s="1"/>
  <c r="AV54" s="1"/>
  <c r="AY54" s="1"/>
  <c r="CE54" s="1"/>
  <c r="AG42"/>
  <c r="AJ21"/>
  <c r="AM25"/>
  <c r="AP25" s="1"/>
  <c r="AS25" s="1"/>
  <c r="AG27"/>
  <c r="AJ36"/>
  <c r="AA26"/>
  <c r="AM51"/>
  <c r="AM59"/>
  <c r="AP59" s="1"/>
  <c r="AS59" s="1"/>
  <c r="AV59" s="1"/>
  <c r="AY59" s="1"/>
  <c r="CE59" s="1"/>
  <c r="BH44"/>
  <c r="BK44" s="1"/>
  <c r="BN44" s="1"/>
  <c r="BQ44" s="1"/>
  <c r="BT44" s="1"/>
  <c r="AG24"/>
  <c r="AJ24" s="1"/>
  <c r="AM24" s="1"/>
  <c r="AP24" s="1"/>
  <c r="AS24" s="1"/>
  <c r="AD58"/>
  <c r="AA49"/>
  <c r="AA34"/>
  <c r="AD34" s="1"/>
  <c r="AD12"/>
  <c r="AJ22"/>
  <c r="AM22" s="1"/>
  <c r="AP22" s="1"/>
  <c r="AS22" s="1"/>
  <c r="AV22" s="1"/>
  <c r="AY22" s="1"/>
  <c r="AV43"/>
  <c r="AY43" s="1"/>
  <c r="AP13"/>
  <c r="AS13" s="1"/>
  <c r="AV13" s="1"/>
  <c r="AY13" s="1"/>
  <c r="AJ61"/>
  <c r="AM32" l="1"/>
  <c r="AP32" s="1"/>
  <c r="AG57"/>
  <c r="AJ57" s="1"/>
  <c r="AM57" s="1"/>
  <c r="AP57" s="1"/>
  <c r="AS57" s="1"/>
  <c r="AV57" s="1"/>
  <c r="AY57" s="1"/>
  <c r="CE57" s="1"/>
  <c r="BT15"/>
  <c r="BW15" s="1"/>
  <c r="BZ15" s="1"/>
  <c r="CC15" s="1"/>
  <c r="AV25"/>
  <c r="BN15"/>
  <c r="BQ15" s="1"/>
  <c r="BB15"/>
  <c r="BE15" s="1"/>
  <c r="BH15" s="1"/>
  <c r="BK15" s="1"/>
  <c r="BB10"/>
  <c r="BE10"/>
  <c r="BH10" s="1"/>
  <c r="CC10"/>
  <c r="AV16"/>
  <c r="AY16" s="1"/>
  <c r="CE10"/>
  <c r="BK10"/>
  <c r="BN10" s="1"/>
  <c r="BQ10" s="1"/>
  <c r="BT10" s="1"/>
  <c r="BW10" s="1"/>
  <c r="BZ10" s="1"/>
  <c r="AS35"/>
  <c r="AV35" s="1"/>
  <c r="AY35" s="1"/>
  <c r="AS28"/>
  <c r="AV28" s="1"/>
  <c r="AY28" s="1"/>
  <c r="CE22"/>
  <c r="BB22"/>
  <c r="BE22" s="1"/>
  <c r="BH22" s="1"/>
  <c r="BK22" s="1"/>
  <c r="BN22" s="1"/>
  <c r="BQ22" s="1"/>
  <c r="BT22" s="1"/>
  <c r="BW22" s="1"/>
  <c r="BZ22" s="1"/>
  <c r="CC22" s="1"/>
  <c r="BB11"/>
  <c r="BE11" s="1"/>
  <c r="BH11" s="1"/>
  <c r="BK11" s="1"/>
  <c r="BN11" s="1"/>
  <c r="BQ11" s="1"/>
  <c r="BT11" s="1"/>
  <c r="BW11" s="1"/>
  <c r="BZ11" s="1"/>
  <c r="CC11" s="1"/>
  <c r="CE11"/>
  <c r="CE20"/>
  <c r="BB20"/>
  <c r="BE20" s="1"/>
  <c r="BH20" s="1"/>
  <c r="BK20" s="1"/>
  <c r="CE8"/>
  <c r="BB8"/>
  <c r="BE8" s="1"/>
  <c r="BH8" s="1"/>
  <c r="BK8" s="1"/>
  <c r="BN8" s="1"/>
  <c r="BQ8" s="1"/>
  <c r="CE52"/>
  <c r="BB52"/>
  <c r="BE52" s="1"/>
  <c r="BH52" s="1"/>
  <c r="BK52" s="1"/>
  <c r="BN52" s="1"/>
  <c r="BQ52" s="1"/>
  <c r="BT52" s="1"/>
  <c r="BW52" s="1"/>
  <c r="BZ52" s="1"/>
  <c r="CC52" s="1"/>
  <c r="CE35"/>
  <c r="BB35"/>
  <c r="BE35" s="1"/>
  <c r="BH35" s="1"/>
  <c r="BK35" s="1"/>
  <c r="BN35" s="1"/>
  <c r="BQ35" s="1"/>
  <c r="BT35" s="1"/>
  <c r="BW35" s="1"/>
  <c r="BZ35" s="1"/>
  <c r="CC35" s="1"/>
  <c r="CE50"/>
  <c r="BB50"/>
  <c r="BE50" s="1"/>
  <c r="BH50" s="1"/>
  <c r="BK50" s="1"/>
  <c r="BN50" s="1"/>
  <c r="BQ50" s="1"/>
  <c r="BT50" s="1"/>
  <c r="BW50" s="1"/>
  <c r="BZ50" s="1"/>
  <c r="CC50" s="1"/>
  <c r="CE56"/>
  <c r="BB56"/>
  <c r="BE56" s="1"/>
  <c r="BH56" s="1"/>
  <c r="BK56" s="1"/>
  <c r="BN56" s="1"/>
  <c r="BQ56" s="1"/>
  <c r="BT56" s="1"/>
  <c r="BW56" s="1"/>
  <c r="BZ56" s="1"/>
  <c r="CC56" s="1"/>
  <c r="CE31"/>
  <c r="BB31"/>
  <c r="BE31" s="1"/>
  <c r="BH31" s="1"/>
  <c r="BK31" s="1"/>
  <c r="BN31" s="1"/>
  <c r="BQ31" s="1"/>
  <c r="BT31" s="1"/>
  <c r="BW31" s="1"/>
  <c r="BZ31" s="1"/>
  <c r="CC31" s="1"/>
  <c r="CE45"/>
  <c r="BB45"/>
  <c r="BE45" s="1"/>
  <c r="BH45" s="1"/>
  <c r="BK45" s="1"/>
  <c r="BN45" s="1"/>
  <c r="BQ45" s="1"/>
  <c r="BT45" s="1"/>
  <c r="BW45" s="1"/>
  <c r="BZ45" s="1"/>
  <c r="CC45" s="1"/>
  <c r="CE55"/>
  <c r="BB55"/>
  <c r="BE55" s="1"/>
  <c r="BH55" s="1"/>
  <c r="BK55" s="1"/>
  <c r="BN55" s="1"/>
  <c r="BQ55" s="1"/>
  <c r="BT55" s="1"/>
  <c r="BW55" s="1"/>
  <c r="BZ55" s="1"/>
  <c r="CC55" s="1"/>
  <c r="CE13"/>
  <c r="BB13"/>
  <c r="BE13" s="1"/>
  <c r="BH13" s="1"/>
  <c r="BK13" s="1"/>
  <c r="BN13" s="1"/>
  <c r="BQ13" s="1"/>
  <c r="BT13" s="1"/>
  <c r="BW13" s="1"/>
  <c r="BZ13" s="1"/>
  <c r="CC13" s="1"/>
  <c r="CE14"/>
  <c r="BB14"/>
  <c r="BE14" s="1"/>
  <c r="BH14" s="1"/>
  <c r="BK14" s="1"/>
  <c r="BN14" s="1"/>
  <c r="BQ14" s="1"/>
  <c r="CE6"/>
  <c r="BB6"/>
  <c r="BE6" s="1"/>
  <c r="BH6" s="1"/>
  <c r="BK6" s="1"/>
  <c r="BN6" s="1"/>
  <c r="BQ6" s="1"/>
  <c r="BT6" s="1"/>
  <c r="BW6" s="1"/>
  <c r="BZ6" s="1"/>
  <c r="CC6" s="1"/>
  <c r="BB29"/>
  <c r="BE29" s="1"/>
  <c r="BH29" s="1"/>
  <c r="BK29" s="1"/>
  <c r="BN29" s="1"/>
  <c r="BQ29" s="1"/>
  <c r="CE29"/>
  <c r="BB39"/>
  <c r="BE39" s="1"/>
  <c r="BH39" s="1"/>
  <c r="BK39" s="1"/>
  <c r="BN39" s="1"/>
  <c r="BQ39" s="1"/>
  <c r="BT39" s="1"/>
  <c r="BW39" s="1"/>
  <c r="BZ39" s="1"/>
  <c r="CC39" s="1"/>
  <c r="CE39"/>
  <c r="CC9"/>
  <c r="CE43"/>
  <c r="BB43"/>
  <c r="BE43" s="1"/>
  <c r="BH43" s="1"/>
  <c r="BK43" s="1"/>
  <c r="BN43" s="1"/>
  <c r="BQ43" s="1"/>
  <c r="BT43" s="1"/>
  <c r="BW43" s="1"/>
  <c r="BZ43" s="1"/>
  <c r="CC43" s="1"/>
  <c r="AP60"/>
  <c r="AS60" s="1"/>
  <c r="AG30"/>
  <c r="AJ30" s="1"/>
  <c r="AM30" s="1"/>
  <c r="AP30" s="1"/>
  <c r="AM18"/>
  <c r="AP18" s="1"/>
  <c r="AS18" s="1"/>
  <c r="AV18" s="1"/>
  <c r="AY18" s="1"/>
  <c r="CE18" s="1"/>
  <c r="AM23"/>
  <c r="AP23" s="1"/>
  <c r="AS23" s="1"/>
  <c r="AV23" s="1"/>
  <c r="AY23" s="1"/>
  <c r="BZ48"/>
  <c r="CC48" s="1"/>
  <c r="BB48"/>
  <c r="BE48" s="1"/>
  <c r="BH48" s="1"/>
  <c r="BK48" s="1"/>
  <c r="BN48" s="1"/>
  <c r="BQ48" s="1"/>
  <c r="BT48" s="1"/>
  <c r="BW48" s="1"/>
  <c r="BT14"/>
  <c r="BW14" s="1"/>
  <c r="BZ14" s="1"/>
  <c r="CC14" s="1"/>
  <c r="AV24"/>
  <c r="AY24" s="1"/>
  <c r="AY25"/>
  <c r="BN25" s="1"/>
  <c r="BQ25" s="1"/>
  <c r="BT25" s="1"/>
  <c r="BW25" s="1"/>
  <c r="BZ25" s="1"/>
  <c r="CC25" s="1"/>
  <c r="AV41"/>
  <c r="AY41" s="1"/>
  <c r="AJ38"/>
  <c r="AM38" s="1"/>
  <c r="AP38" s="1"/>
  <c r="AS38" s="1"/>
  <c r="AV38" s="1"/>
  <c r="AY38" s="1"/>
  <c r="CE38" s="1"/>
  <c r="BB9"/>
  <c r="BE9" s="1"/>
  <c r="BH9" s="1"/>
  <c r="BK9" s="1"/>
  <c r="BN9" s="1"/>
  <c r="BQ9" s="1"/>
  <c r="BT9" s="1"/>
  <c r="BW9" s="1"/>
  <c r="BZ9" s="1"/>
  <c r="BT29"/>
  <c r="BW29" s="1"/>
  <c r="BZ29" s="1"/>
  <c r="CC29" s="1"/>
  <c r="AG12"/>
  <c r="AJ12" s="1"/>
  <c r="AM12" s="1"/>
  <c r="AP12" s="1"/>
  <c r="AS12" s="1"/>
  <c r="AG34"/>
  <c r="AJ34" s="1"/>
  <c r="AM34" s="1"/>
  <c r="AP34" s="1"/>
  <c r="AG58"/>
  <c r="AJ27"/>
  <c r="AM27" s="1"/>
  <c r="AP27" s="1"/>
  <c r="AS27" s="1"/>
  <c r="AV27" s="1"/>
  <c r="AY27" s="1"/>
  <c r="AJ42"/>
  <c r="AM42" s="1"/>
  <c r="AP42" s="1"/>
  <c r="AS42" s="1"/>
  <c r="AS37"/>
  <c r="AV37" s="1"/>
  <c r="AY37" s="1"/>
  <c r="BZ8"/>
  <c r="CC8" s="1"/>
  <c r="BT8"/>
  <c r="BW8" s="1"/>
  <c r="AJ33"/>
  <c r="AM33" s="1"/>
  <c r="AP33" s="1"/>
  <c r="AS33" s="1"/>
  <c r="AV33" s="1"/>
  <c r="AY33" s="1"/>
  <c r="AJ19"/>
  <c r="AM19" s="1"/>
  <c r="AP19" s="1"/>
  <c r="AS19" s="1"/>
  <c r="AV19" s="1"/>
  <c r="AY19" s="1"/>
  <c r="AD49"/>
  <c r="AG49" s="1"/>
  <c r="AJ49" s="1"/>
  <c r="AM49" s="1"/>
  <c r="AP49" s="1"/>
  <c r="AS49" s="1"/>
  <c r="AV49" s="1"/>
  <c r="AY49" s="1"/>
  <c r="BB59"/>
  <c r="BE59" s="1"/>
  <c r="BH59" s="1"/>
  <c r="AP51"/>
  <c r="AS51" s="1"/>
  <c r="AV51" s="1"/>
  <c r="AY51" s="1"/>
  <c r="AD26"/>
  <c r="AG26" s="1"/>
  <c r="AJ26" s="1"/>
  <c r="AM26" s="1"/>
  <c r="AP26" s="1"/>
  <c r="AS26" s="1"/>
  <c r="AV26" s="1"/>
  <c r="AY26" s="1"/>
  <c r="BN20"/>
  <c r="BQ20" s="1"/>
  <c r="BT20" s="1"/>
  <c r="BW20" s="1"/>
  <c r="BZ20" s="1"/>
  <c r="CC20" s="1"/>
  <c r="AM36"/>
  <c r="AP36" s="1"/>
  <c r="AS36" s="1"/>
  <c r="AV36" s="1"/>
  <c r="AY36" s="1"/>
  <c r="AP46"/>
  <c r="AS46" s="1"/>
  <c r="AV46" s="1"/>
  <c r="AY46" s="1"/>
  <c r="CE46" s="1"/>
  <c r="AJ47"/>
  <c r="AS40"/>
  <c r="AV40" s="1"/>
  <c r="AY40" s="1"/>
  <c r="CE40" s="1"/>
  <c r="BH41"/>
  <c r="BK41" s="1"/>
  <c r="BN41" s="1"/>
  <c r="BQ41" s="1"/>
  <c r="BT41" s="1"/>
  <c r="BB54"/>
  <c r="BE54" s="1"/>
  <c r="BH54" s="1"/>
  <c r="BK54" s="1"/>
  <c r="BN54" s="1"/>
  <c r="BQ54" s="1"/>
  <c r="BT54" s="1"/>
  <c r="BW54" s="1"/>
  <c r="BZ54" s="1"/>
  <c r="CC54" s="1"/>
  <c r="AM17"/>
  <c r="AP17" s="1"/>
  <c r="AS17" s="1"/>
  <c r="AV17" s="1"/>
  <c r="AY17" s="1"/>
  <c r="AP5"/>
  <c r="AS5" s="1"/>
  <c r="AV5" s="1"/>
  <c r="AY5" s="1"/>
  <c r="CE5" s="1"/>
  <c r="BK59"/>
  <c r="BN59" s="1"/>
  <c r="BQ59" s="1"/>
  <c r="BT59" s="1"/>
  <c r="BW59" s="1"/>
  <c r="BZ59" s="1"/>
  <c r="CC59" s="1"/>
  <c r="AM21"/>
  <c r="AP21" s="1"/>
  <c r="AS21" s="1"/>
  <c r="AV21" s="1"/>
  <c r="BB7"/>
  <c r="BE7" s="1"/>
  <c r="BH7" s="1"/>
  <c r="BK7" s="1"/>
  <c r="BN7" s="1"/>
  <c r="BQ7" s="1"/>
  <c r="BT7" s="1"/>
  <c r="BW7" s="1"/>
  <c r="BZ7" s="1"/>
  <c r="CC7" s="1"/>
  <c r="AM61"/>
  <c r="AS32" l="1"/>
  <c r="AV32" s="1"/>
  <c r="AY32" s="1"/>
  <c r="BB16"/>
  <c r="BE16" s="1"/>
  <c r="BH16" s="1"/>
  <c r="BK16" s="1"/>
  <c r="BN16" s="1"/>
  <c r="BQ16" s="1"/>
  <c r="BT16" s="1"/>
  <c r="BW16" s="1"/>
  <c r="BZ16" s="1"/>
  <c r="CC16" s="1"/>
  <c r="BW41"/>
  <c r="BZ41" s="1"/>
  <c r="CC41" s="1"/>
  <c r="CE28"/>
  <c r="BB57"/>
  <c r="BE57" s="1"/>
  <c r="BH57" s="1"/>
  <c r="BK57" s="1"/>
  <c r="BN57" s="1"/>
  <c r="BQ57" s="1"/>
  <c r="BT57" s="1"/>
  <c r="BW57" s="1"/>
  <c r="BZ57" s="1"/>
  <c r="CC57" s="1"/>
  <c r="BB46"/>
  <c r="BE46" s="1"/>
  <c r="BH46" s="1"/>
  <c r="BK46" s="1"/>
  <c r="BN46" s="1"/>
  <c r="BQ46" s="1"/>
  <c r="BZ46"/>
  <c r="CC46" s="1"/>
  <c r="BT46"/>
  <c r="BW46" s="1"/>
  <c r="AV12"/>
  <c r="BB28"/>
  <c r="BE28" s="1"/>
  <c r="BH28" s="1"/>
  <c r="BK28" s="1"/>
  <c r="BN28" s="1"/>
  <c r="BQ28" s="1"/>
  <c r="BT28" s="1"/>
  <c r="BW28" s="1"/>
  <c r="BZ28" s="1"/>
  <c r="CC28" s="1"/>
  <c r="AV60"/>
  <c r="CE16"/>
  <c r="BN37"/>
  <c r="BQ37" s="1"/>
  <c r="BT37" s="1"/>
  <c r="BW37" s="1"/>
  <c r="BZ37" s="1"/>
  <c r="CC37" s="1"/>
  <c r="BE37"/>
  <c r="BH37" s="1"/>
  <c r="BK37" s="1"/>
  <c r="AV42"/>
  <c r="AY42" s="1"/>
  <c r="AS34"/>
  <c r="AV34" s="1"/>
  <c r="BN40"/>
  <c r="BQ40" s="1"/>
  <c r="BT40" s="1"/>
  <c r="BW40" s="1"/>
  <c r="BZ40" s="1"/>
  <c r="CC40" s="1"/>
  <c r="BQ23"/>
  <c r="BT23" s="1"/>
  <c r="BW23" s="1"/>
  <c r="BZ23" s="1"/>
  <c r="CC23" s="1"/>
  <c r="BB18"/>
  <c r="BE18" s="1"/>
  <c r="BH18" s="1"/>
  <c r="BK18" s="1"/>
  <c r="BN18" s="1"/>
  <c r="BQ18" s="1"/>
  <c r="BT18" s="1"/>
  <c r="BW18" s="1"/>
  <c r="BZ18"/>
  <c r="CC18" s="1"/>
  <c r="AS30"/>
  <c r="AV30" s="1"/>
  <c r="AY30" s="1"/>
  <c r="CE17"/>
  <c r="BB17"/>
  <c r="BE17" s="1"/>
  <c r="BH17" s="1"/>
  <c r="BK17" s="1"/>
  <c r="BN17" s="1"/>
  <c r="BQ17" s="1"/>
  <c r="BT17" s="1"/>
  <c r="BW17" s="1"/>
  <c r="BZ17" s="1"/>
  <c r="CC17" s="1"/>
  <c r="CE49"/>
  <c r="BB49"/>
  <c r="BE49" s="1"/>
  <c r="BH49" s="1"/>
  <c r="BK49" s="1"/>
  <c r="BN49" s="1"/>
  <c r="BQ49" s="1"/>
  <c r="BT49" s="1"/>
  <c r="BW49" s="1"/>
  <c r="BZ49" s="1"/>
  <c r="CC49" s="1"/>
  <c r="CE19"/>
  <c r="BB19"/>
  <c r="BE19" s="1"/>
  <c r="BH19" s="1"/>
  <c r="BK19" s="1"/>
  <c r="BN19" s="1"/>
  <c r="BQ19" s="1"/>
  <c r="BT19" s="1"/>
  <c r="BW19" s="1"/>
  <c r="BZ19" s="1"/>
  <c r="CC19" s="1"/>
  <c r="BB42"/>
  <c r="BE42" s="1"/>
  <c r="BH42" s="1"/>
  <c r="BK42" s="1"/>
  <c r="BN42" s="1"/>
  <c r="BQ42" s="1"/>
  <c r="BT42" s="1"/>
  <c r="BW42" s="1"/>
  <c r="BZ42" s="1"/>
  <c r="CC42" s="1"/>
  <c r="CE27"/>
  <c r="BB27"/>
  <c r="BE27" s="1"/>
  <c r="BH27" s="1"/>
  <c r="BK27" s="1"/>
  <c r="BN27" s="1"/>
  <c r="BQ27" s="1"/>
  <c r="BT27" s="1"/>
  <c r="BW27" s="1"/>
  <c r="BZ27" s="1"/>
  <c r="CC27" s="1"/>
  <c r="BB36"/>
  <c r="BE36" s="1"/>
  <c r="BH36" s="1"/>
  <c r="BK36" s="1"/>
  <c r="BN36" s="1"/>
  <c r="BQ36" s="1"/>
  <c r="BT36" s="1"/>
  <c r="BW36" s="1"/>
  <c r="BZ36" s="1"/>
  <c r="CC36" s="1"/>
  <c r="CE36"/>
  <c r="CE26"/>
  <c r="BB26"/>
  <c r="BE26" s="1"/>
  <c r="BH26" s="1"/>
  <c r="BK26" s="1"/>
  <c r="BN26" s="1"/>
  <c r="BQ26" s="1"/>
  <c r="BT26" s="1"/>
  <c r="BW26" s="1"/>
  <c r="BZ26" s="1"/>
  <c r="CC26" s="1"/>
  <c r="CE33"/>
  <c r="BB33"/>
  <c r="BE33" s="1"/>
  <c r="BH33" s="1"/>
  <c r="BK33" s="1"/>
  <c r="BN33" s="1"/>
  <c r="BQ33" s="1"/>
  <c r="BT33" s="1"/>
  <c r="BW33" s="1"/>
  <c r="BZ33" s="1"/>
  <c r="CC33" s="1"/>
  <c r="CE51"/>
  <c r="BB51"/>
  <c r="BE51" s="1"/>
  <c r="BH51" s="1"/>
  <c r="BK51" s="1"/>
  <c r="BN51" s="1"/>
  <c r="BQ51" s="1"/>
  <c r="BT51" s="1"/>
  <c r="BW51" s="1"/>
  <c r="BZ51" s="1"/>
  <c r="CC51" s="1"/>
  <c r="CE37"/>
  <c r="BB37"/>
  <c r="CE25"/>
  <c r="BB25"/>
  <c r="BE25" s="1"/>
  <c r="BH25" s="1"/>
  <c r="BK25" s="1"/>
  <c r="CE23"/>
  <c r="BB23"/>
  <c r="BE23" s="1"/>
  <c r="BH23" s="1"/>
  <c r="BK23" s="1"/>
  <c r="BN23" s="1"/>
  <c r="AY21"/>
  <c r="BB38"/>
  <c r="BE38" s="1"/>
  <c r="BH38" s="1"/>
  <c r="BK38" s="1"/>
  <c r="BN38" s="1"/>
  <c r="BQ38" s="1"/>
  <c r="BT38" s="1"/>
  <c r="BW38" s="1"/>
  <c r="BZ38" s="1"/>
  <c r="CC38" s="1"/>
  <c r="BB40"/>
  <c r="BE40" s="1"/>
  <c r="BH40" s="1"/>
  <c r="BK40" s="1"/>
  <c r="AJ58"/>
  <c r="AM58" s="1"/>
  <c r="AP58" s="1"/>
  <c r="AS58" s="1"/>
  <c r="AV58" s="1"/>
  <c r="AY58" s="1"/>
  <c r="CE41"/>
  <c r="BB41"/>
  <c r="BE41" s="1"/>
  <c r="CE24"/>
  <c r="BB24"/>
  <c r="BE24" s="1"/>
  <c r="BH24" s="1"/>
  <c r="BK24" s="1"/>
  <c r="BN24" s="1"/>
  <c r="BQ24" s="1"/>
  <c r="BT24" s="1"/>
  <c r="BW24" s="1"/>
  <c r="BZ24" s="1"/>
  <c r="CC24" s="1"/>
  <c r="BB30"/>
  <c r="BE30" s="1"/>
  <c r="BH30" s="1"/>
  <c r="BK30" s="1"/>
  <c r="BN30" s="1"/>
  <c r="BQ30" s="1"/>
  <c r="BT30" s="1"/>
  <c r="BW30" s="1"/>
  <c r="BZ30" s="1"/>
  <c r="CC30" s="1"/>
  <c r="AM47"/>
  <c r="AP47" s="1"/>
  <c r="AS47" s="1"/>
  <c r="AV47" s="1"/>
  <c r="AY47" s="1"/>
  <c r="BB5"/>
  <c r="BE5" s="1"/>
  <c r="BH5" s="1"/>
  <c r="BK5" s="1"/>
  <c r="BN5" s="1"/>
  <c r="BQ5" s="1"/>
  <c r="BT5" s="1"/>
  <c r="BW5" s="1"/>
  <c r="BZ5" s="1"/>
  <c r="CC5" s="1"/>
  <c r="AP61"/>
  <c r="AS61" s="1"/>
  <c r="AV61" s="1"/>
  <c r="CE32" l="1"/>
  <c r="BB32"/>
  <c r="BE32" s="1"/>
  <c r="BH32" s="1"/>
  <c r="BK32" s="1"/>
  <c r="BN32" s="1"/>
  <c r="BQ32" s="1"/>
  <c r="BT32" s="1"/>
  <c r="BW32" s="1"/>
  <c r="BZ32" s="1"/>
  <c r="CC32" s="1"/>
  <c r="CE42"/>
  <c r="AY34"/>
  <c r="CE34" s="1"/>
  <c r="CE30"/>
  <c r="AY12"/>
  <c r="BQ12" s="1"/>
  <c r="BT12" s="1"/>
  <c r="BW12" s="1"/>
  <c r="BZ12" s="1"/>
  <c r="AY60"/>
  <c r="BB60" s="1"/>
  <c r="BE60" s="1"/>
  <c r="CE58"/>
  <c r="BB58"/>
  <c r="BE58" s="1"/>
  <c r="BH58" s="1"/>
  <c r="BK58" s="1"/>
  <c r="BN58" s="1"/>
  <c r="BQ58" s="1"/>
  <c r="BT58" s="1"/>
  <c r="BW58" s="1"/>
  <c r="BZ58" s="1"/>
  <c r="CC58" s="1"/>
  <c r="CE47"/>
  <c r="BB47"/>
  <c r="BE47" s="1"/>
  <c r="BH47" s="1"/>
  <c r="BK47" s="1"/>
  <c r="BN47" s="1"/>
  <c r="BQ47" s="1"/>
  <c r="BT47" s="1"/>
  <c r="BW47" s="1"/>
  <c r="BZ47" s="1"/>
  <c r="CC47" s="1"/>
  <c r="CE21"/>
  <c r="BB21"/>
  <c r="BE21" s="1"/>
  <c r="BH21" s="1"/>
  <c r="BK21" s="1"/>
  <c r="BN21" s="1"/>
  <c r="BQ21" s="1"/>
  <c r="BT21" s="1"/>
  <c r="BW21" s="1"/>
  <c r="BZ21" s="1"/>
  <c r="CC21" s="1"/>
  <c r="AY61"/>
  <c r="BT61" s="1"/>
  <c r="BW61" s="1"/>
  <c r="BZ61" s="1"/>
  <c r="CC61" s="1"/>
  <c r="BB34" l="1"/>
  <c r="BE34" s="1"/>
  <c r="BH34" s="1"/>
  <c r="BK34" s="1"/>
  <c r="BN34" s="1"/>
  <c r="BQ34" s="1"/>
  <c r="BT34" s="1"/>
  <c r="BW34" s="1"/>
  <c r="BZ34" s="1"/>
  <c r="CC34" s="1"/>
  <c r="BH60"/>
  <c r="BK60" s="1"/>
  <c r="CE60"/>
  <c r="BN60"/>
  <c r="BQ60" s="1"/>
  <c r="BT60" s="1"/>
  <c r="BW60" s="1"/>
  <c r="BZ60" s="1"/>
  <c r="CC60" s="1"/>
  <c r="CE12"/>
  <c r="BK12"/>
  <c r="BN12" s="1"/>
  <c r="BB12"/>
  <c r="BE12"/>
  <c r="BH12" s="1"/>
  <c r="CC12"/>
  <c r="BB61"/>
  <c r="BE61" s="1"/>
  <c r="BH61" s="1"/>
  <c r="BK61" s="1"/>
  <c r="BN61" s="1"/>
  <c r="BQ61" s="1"/>
  <c r="CE61"/>
  <c r="B25" i="9" l="1"/>
  <c r="C9" s="1"/>
  <c r="B6"/>
  <c r="BA4" i="7"/>
  <c r="BD4" s="1"/>
  <c r="BG4" s="1"/>
  <c r="BJ4" s="1"/>
  <c r="BM4" s="1"/>
  <c r="BP4" s="1"/>
  <c r="BS4" s="1"/>
  <c r="BV4" s="1"/>
  <c r="BY4" s="1"/>
  <c r="CB4" s="1"/>
  <c r="K4"/>
  <c r="L4" s="1"/>
  <c r="G1"/>
  <c r="D2" i="6"/>
  <c r="D3"/>
  <c r="I6" s="1"/>
  <c r="J1" i="7"/>
  <c r="M1" s="1"/>
  <c r="O63"/>
  <c r="R63" s="1"/>
  <c r="U63" s="1"/>
  <c r="X63" s="1"/>
  <c r="AA63" s="1"/>
  <c r="AD63" s="1"/>
  <c r="AG63" s="1"/>
  <c r="AJ63" s="1"/>
  <c r="AM63" s="1"/>
  <c r="AP63" s="1"/>
  <c r="AS63" s="1"/>
  <c r="AV63" s="1"/>
  <c r="AY63" s="1"/>
  <c r="Y67"/>
  <c r="AB67"/>
  <c r="AE67"/>
  <c r="AH67"/>
  <c r="AK67"/>
  <c r="AN67"/>
  <c r="AQ67"/>
  <c r="AT67"/>
  <c r="AW67"/>
  <c r="J67"/>
  <c r="A19" i="8"/>
  <c r="CE62" i="7"/>
  <c r="I67"/>
  <c r="M67"/>
  <c r="P67"/>
  <c r="S67"/>
  <c r="V67"/>
  <c r="AZ67"/>
  <c r="BC67"/>
  <c r="BF67"/>
  <c r="BI67"/>
  <c r="BL67"/>
  <c r="BO67"/>
  <c r="BR67"/>
  <c r="BU67"/>
  <c r="BX67"/>
  <c r="CA67"/>
  <c r="BB63"/>
  <c r="BE63" s="1"/>
  <c r="BH63" s="1"/>
  <c r="BK63" s="1"/>
  <c r="BN63" s="1"/>
  <c r="BQ63" s="1"/>
  <c r="BT63" s="1"/>
  <c r="BW63" s="1"/>
  <c r="BZ63" s="1"/>
  <c r="CC63" s="1"/>
  <c r="AZ1"/>
  <c r="BC1" s="1"/>
  <c r="BF1" s="1"/>
  <c r="BI1" s="1"/>
  <c r="BL1" s="1"/>
  <c r="BO1" s="1"/>
  <c r="BR1" s="1"/>
  <c r="BU1" s="1"/>
  <c r="BX1" s="1"/>
  <c r="CA1" s="1"/>
  <c r="C20" i="9" l="1"/>
  <c r="C24"/>
  <c r="C12"/>
  <c r="C23"/>
  <c r="C19"/>
  <c r="C15"/>
  <c r="C22"/>
  <c r="C16"/>
  <c r="C21"/>
  <c r="C17"/>
  <c r="C13"/>
  <c r="C18"/>
  <c r="C11"/>
  <c r="C10"/>
  <c r="C14"/>
  <c r="BA67" i="7"/>
  <c r="BD67"/>
  <c r="N4"/>
  <c r="Q4" s="1"/>
  <c r="T4" s="1"/>
  <c r="W4" s="1"/>
  <c r="Z4" s="1"/>
  <c r="AC4" s="1"/>
  <c r="AF4" s="1"/>
  <c r="AI4" s="1"/>
  <c r="AL4" s="1"/>
  <c r="AO4" s="1"/>
  <c r="AR4" s="1"/>
  <c r="AU4" s="1"/>
  <c r="AX4" s="1"/>
  <c r="BG67"/>
  <c r="K67"/>
  <c r="P6" i="6"/>
  <c r="P8" s="1"/>
  <c r="I25"/>
  <c r="I22"/>
  <c r="I21"/>
  <c r="I19"/>
  <c r="I17"/>
  <c r="I16"/>
  <c r="I9"/>
  <c r="I10"/>
  <c r="I12"/>
  <c r="I15"/>
  <c r="J6"/>
  <c r="J8" s="1"/>
  <c r="I23"/>
  <c r="I24"/>
  <c r="I20"/>
  <c r="I8"/>
  <c r="I18"/>
  <c r="I13"/>
  <c r="I11"/>
  <c r="I14"/>
  <c r="E20" i="8"/>
  <c r="P1" i="7"/>
  <c r="F20" i="8"/>
  <c r="C8" i="6"/>
  <c r="P10" l="1"/>
  <c r="E36" i="8"/>
  <c r="E22"/>
  <c r="C25" i="9"/>
  <c r="N67" i="7"/>
  <c r="O4"/>
  <c r="R4" s="1"/>
  <c r="BJ67"/>
  <c r="E23" i="8"/>
  <c r="E24" s="1"/>
  <c r="E31"/>
  <c r="E37"/>
  <c r="E35"/>
  <c r="P22" i="6"/>
  <c r="P24"/>
  <c r="P20"/>
  <c r="P14"/>
  <c r="P12"/>
  <c r="P15"/>
  <c r="P9"/>
  <c r="P18"/>
  <c r="Q6"/>
  <c r="Q8" s="1"/>
  <c r="P25"/>
  <c r="P21"/>
  <c r="P23"/>
  <c r="P19"/>
  <c r="P11"/>
  <c r="P16"/>
  <c r="P13"/>
  <c r="P17"/>
  <c r="J13"/>
  <c r="J15"/>
  <c r="J10"/>
  <c r="J11"/>
  <c r="J18"/>
  <c r="J23"/>
  <c r="J22"/>
  <c r="J24"/>
  <c r="J19"/>
  <c r="J16"/>
  <c r="J17"/>
  <c r="J14"/>
  <c r="J12"/>
  <c r="J9"/>
  <c r="K6"/>
  <c r="K8" s="1"/>
  <c r="J25"/>
  <c r="J21"/>
  <c r="J20"/>
  <c r="S1" i="7"/>
  <c r="G20" i="8"/>
  <c r="F23"/>
  <c r="F22"/>
  <c r="F36" l="1"/>
  <c r="Q67" i="7"/>
  <c r="F31" i="8"/>
  <c r="W67" i="7"/>
  <c r="T67"/>
  <c r="F37" i="8"/>
  <c r="F35"/>
  <c r="U4" i="7"/>
  <c r="F24" i="8"/>
  <c r="F27" s="1"/>
  <c r="F28" s="1"/>
  <c r="BM67" i="7"/>
  <c r="Z67"/>
  <c r="Q18" i="6"/>
  <c r="R6"/>
  <c r="R8" s="1"/>
  <c r="Q25"/>
  <c r="Q22"/>
  <c r="Q21"/>
  <c r="Q19"/>
  <c r="Q9"/>
  <c r="Q12"/>
  <c r="Q15"/>
  <c r="Q10"/>
  <c r="Q17"/>
  <c r="Q23"/>
  <c r="Q24"/>
  <c r="Q20"/>
  <c r="Q13"/>
  <c r="Q11"/>
  <c r="Q14"/>
  <c r="Q16"/>
  <c r="K16"/>
  <c r="K15"/>
  <c r="K9"/>
  <c r="K12"/>
  <c r="K25"/>
  <c r="K20"/>
  <c r="K23"/>
  <c r="K19"/>
  <c r="K17"/>
  <c r="K18"/>
  <c r="K11"/>
  <c r="K13"/>
  <c r="K14"/>
  <c r="K10"/>
  <c r="K24"/>
  <c r="K22"/>
  <c r="L6"/>
  <c r="L8" s="1"/>
  <c r="K21"/>
  <c r="V1" i="7"/>
  <c r="H20" i="8"/>
  <c r="G22"/>
  <c r="G23"/>
  <c r="G24" s="1"/>
  <c r="E25"/>
  <c r="E27"/>
  <c r="E28" s="1"/>
  <c r="F25" l="1"/>
  <c r="G36"/>
  <c r="G37"/>
  <c r="G35"/>
  <c r="G31"/>
  <c r="X4" i="7"/>
  <c r="BP67"/>
  <c r="G25" i="8"/>
  <c r="AC67" i="7"/>
  <c r="R22" i="6"/>
  <c r="R24"/>
  <c r="R20"/>
  <c r="R15"/>
  <c r="R10"/>
  <c r="R13"/>
  <c r="R12"/>
  <c r="R18"/>
  <c r="S6"/>
  <c r="S8" s="1"/>
  <c r="R25"/>
  <c r="R21"/>
  <c r="R23"/>
  <c r="R19"/>
  <c r="R11"/>
  <c r="R16"/>
  <c r="R17"/>
  <c r="R9"/>
  <c r="R14"/>
  <c r="L18"/>
  <c r="L16"/>
  <c r="L12"/>
  <c r="L13"/>
  <c r="L11"/>
  <c r="L9"/>
  <c r="M6"/>
  <c r="M8" s="1"/>
  <c r="L22"/>
  <c r="L24"/>
  <c r="L20"/>
  <c r="L15"/>
  <c r="L14"/>
  <c r="L10"/>
  <c r="L17"/>
  <c r="L25"/>
  <c r="L21"/>
  <c r="L23"/>
  <c r="L19"/>
  <c r="Y1" i="7"/>
  <c r="I20" i="8"/>
  <c r="G27"/>
  <c r="G28" s="1"/>
  <c r="H23"/>
  <c r="H24" s="1"/>
  <c r="H27" s="1"/>
  <c r="H22"/>
  <c r="S9" i="6" l="1"/>
  <c r="H25" i="8"/>
  <c r="H37"/>
  <c r="H36"/>
  <c r="H31"/>
  <c r="H35"/>
  <c r="H28"/>
  <c r="AA4" i="7"/>
  <c r="AD4" s="1"/>
  <c r="BS67"/>
  <c r="AF67"/>
  <c r="M18" i="6"/>
  <c r="M17"/>
  <c r="M11"/>
  <c r="M9"/>
  <c r="M24"/>
  <c r="M25"/>
  <c r="M23"/>
  <c r="N6"/>
  <c r="O6" s="1"/>
  <c r="M10"/>
  <c r="M14"/>
  <c r="M15"/>
  <c r="M13"/>
  <c r="M12"/>
  <c r="M16"/>
  <c r="M21"/>
  <c r="M20"/>
  <c r="M22"/>
  <c r="M19"/>
  <c r="S18"/>
  <c r="T6"/>
  <c r="T8" s="1"/>
  <c r="S25"/>
  <c r="S24"/>
  <c r="S21"/>
  <c r="S19"/>
  <c r="S10"/>
  <c r="S17"/>
  <c r="S13"/>
  <c r="S15"/>
  <c r="S16"/>
  <c r="S22"/>
  <c r="S23"/>
  <c r="S20"/>
  <c r="S12"/>
  <c r="S11"/>
  <c r="S14"/>
  <c r="AB1" i="7"/>
  <c r="J20" i="8"/>
  <c r="I37"/>
  <c r="I23"/>
  <c r="I24" s="1"/>
  <c r="I27" s="1"/>
  <c r="I22"/>
  <c r="I31"/>
  <c r="I35" l="1"/>
  <c r="I36"/>
  <c r="I28"/>
  <c r="AG4" i="7"/>
  <c r="AJ4" s="1"/>
  <c r="J36" i="8"/>
  <c r="BV67" i="7"/>
  <c r="AI67"/>
  <c r="T23" i="6"/>
  <c r="W23" s="1"/>
  <c r="T21"/>
  <c r="W21" s="1"/>
  <c r="T20"/>
  <c r="W20" s="1"/>
  <c r="U6"/>
  <c r="V6" s="1"/>
  <c r="T16"/>
  <c r="W16" s="1"/>
  <c r="T11"/>
  <c r="W11" s="1"/>
  <c r="W8"/>
  <c r="T10"/>
  <c r="W10" s="1"/>
  <c r="T13"/>
  <c r="W13" s="1"/>
  <c r="T17"/>
  <c r="W17" s="1"/>
  <c r="T18"/>
  <c r="W18" s="1"/>
  <c r="T25"/>
  <c r="W25" s="1"/>
  <c r="T22"/>
  <c r="W22" s="1"/>
  <c r="T24"/>
  <c r="W24" s="1"/>
  <c r="T19"/>
  <c r="W19" s="1"/>
  <c r="T14"/>
  <c r="W14" s="1"/>
  <c r="T12"/>
  <c r="W12" s="1"/>
  <c r="T15"/>
  <c r="W15" s="1"/>
  <c r="T9"/>
  <c r="W9" s="1"/>
  <c r="AE1" i="7"/>
  <c r="K20" i="8"/>
  <c r="J22"/>
  <c r="J31"/>
  <c r="J23"/>
  <c r="J24" s="1"/>
  <c r="J35"/>
  <c r="I25"/>
  <c r="J37" l="1"/>
  <c r="AM4" i="7"/>
  <c r="AP4" s="1"/>
  <c r="AS4" s="1"/>
  <c r="AV4" s="1"/>
  <c r="AY4" s="1"/>
  <c r="CE4" s="1"/>
  <c r="CB67"/>
  <c r="BY67"/>
  <c r="J27" i="8"/>
  <c r="J28" s="1"/>
  <c r="J25"/>
  <c r="AL67" i="7"/>
  <c r="C9" i="6"/>
  <c r="C10" s="1"/>
  <c r="AH1" i="7"/>
  <c r="L20" i="8"/>
  <c r="K22"/>
  <c r="K23"/>
  <c r="K24" s="1"/>
  <c r="K36" l="1"/>
  <c r="K35"/>
  <c r="K37"/>
  <c r="K31"/>
  <c r="BB4" i="7"/>
  <c r="BE4" s="1"/>
  <c r="BH4" s="1"/>
  <c r="BK4" s="1"/>
  <c r="BN4" s="1"/>
  <c r="BQ4" s="1"/>
  <c r="BT4" s="1"/>
  <c r="BW4" s="1"/>
  <c r="BZ4" s="1"/>
  <c r="CC4" s="1"/>
  <c r="AO67"/>
  <c r="K27" i="8"/>
  <c r="K28" s="1"/>
  <c r="K25"/>
  <c r="AK1" i="7"/>
  <c r="M20" i="8"/>
  <c r="L22"/>
  <c r="L31"/>
  <c r="L37"/>
  <c r="L35"/>
  <c r="L23"/>
  <c r="L24" s="1"/>
  <c r="L27" s="1"/>
  <c r="L28" s="1"/>
  <c r="L36"/>
  <c r="AR67" i="7" l="1"/>
  <c r="L25" i="8"/>
  <c r="N20"/>
  <c r="AN1" i="7"/>
  <c r="M23" i="8"/>
  <c r="M24" s="1"/>
  <c r="M27" s="1"/>
  <c r="M37"/>
  <c r="M31"/>
  <c r="M22"/>
  <c r="M35"/>
  <c r="M36"/>
  <c r="M28" l="1"/>
  <c r="AU67" i="7"/>
  <c r="N31" i="8"/>
  <c r="N35"/>
  <c r="N23"/>
  <c r="N24" s="1"/>
  <c r="N27" s="1"/>
  <c r="N37"/>
  <c r="N36"/>
  <c r="N22"/>
  <c r="M25"/>
  <c r="AQ1" i="7"/>
  <c r="O20" i="8"/>
  <c r="B30" i="9" l="1"/>
  <c r="B29"/>
  <c r="B31"/>
  <c r="B32"/>
  <c r="B28"/>
  <c r="N28" i="8"/>
  <c r="AX67" i="7"/>
  <c r="AT1"/>
  <c r="P20" i="8"/>
  <c r="O23"/>
  <c r="O24" s="1"/>
  <c r="O27" s="1"/>
  <c r="O31"/>
  <c r="O36"/>
  <c r="O22"/>
  <c r="O37"/>
  <c r="O35"/>
  <c r="N25"/>
  <c r="B33" i="9" l="1"/>
  <c r="C28" s="1"/>
  <c r="O28" i="8"/>
  <c r="O25"/>
  <c r="O33"/>
  <c r="O32" s="1"/>
  <c r="AW1" i="7"/>
  <c r="R20" i="8" s="1"/>
  <c r="Q20"/>
  <c r="P22"/>
  <c r="P37"/>
  <c r="P31"/>
  <c r="P23"/>
  <c r="P24" s="1"/>
  <c r="P27" s="1"/>
  <c r="P36"/>
  <c r="P35"/>
  <c r="P33"/>
  <c r="C29" i="9" l="1"/>
  <c r="C30"/>
  <c r="C32"/>
  <c r="C31"/>
  <c r="P28" i="8"/>
  <c r="O29"/>
  <c r="I33"/>
  <c r="I29" s="1"/>
  <c r="J33"/>
  <c r="K33"/>
  <c r="M33"/>
  <c r="N33"/>
  <c r="L33"/>
  <c r="G33"/>
  <c r="G32" s="1"/>
  <c r="H33"/>
  <c r="E33"/>
  <c r="F33"/>
  <c r="BB67" i="7"/>
  <c r="R23" i="8"/>
  <c r="R31"/>
  <c r="R35"/>
  <c r="R33"/>
  <c r="R22"/>
  <c r="R37"/>
  <c r="R36"/>
  <c r="P25"/>
  <c r="P29" s="1"/>
  <c r="Q23"/>
  <c r="Q35"/>
  <c r="Q36"/>
  <c r="Q22"/>
  <c r="Q31"/>
  <c r="Q37"/>
  <c r="Q33"/>
  <c r="P32"/>
  <c r="R24" l="1"/>
  <c r="R27" s="1"/>
  <c r="R28" s="1"/>
  <c r="I32"/>
  <c r="C33" i="9"/>
  <c r="N32" i="8"/>
  <c r="N29"/>
  <c r="K32"/>
  <c r="K29"/>
  <c r="L32"/>
  <c r="L29"/>
  <c r="M32"/>
  <c r="M29"/>
  <c r="J32"/>
  <c r="J29"/>
  <c r="G29"/>
  <c r="H29"/>
  <c r="H32"/>
  <c r="E29"/>
  <c r="E32"/>
  <c r="F29"/>
  <c r="F32"/>
  <c r="Q24"/>
  <c r="BE67" i="7"/>
  <c r="R25" i="8" l="1"/>
  <c r="R29" s="1"/>
  <c r="R32"/>
  <c r="Q27"/>
  <c r="Q28" s="1"/>
  <c r="Q25"/>
  <c r="Q29" s="1"/>
  <c r="Q32"/>
  <c r="BH67" i="7"/>
  <c r="BK67" l="1"/>
  <c r="BN67" l="1"/>
  <c r="BQ67" l="1"/>
  <c r="BT67" l="1"/>
  <c r="BW67" l="1"/>
  <c r="BZ67" l="1"/>
  <c r="CC67"/>
  <c r="C5" i="9"/>
  <c r="C4"/>
  <c r="C3"/>
  <c r="C2"/>
  <c r="C6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<sst xmlns="http://schemas.openxmlformats.org/spreadsheetml/2006/main" count="313" uniqueCount="155">
  <si>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</si>
  <si>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</si>
  <si>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</si>
  <si>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</si>
  <si>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</si>
  <si>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</si>
  <si>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</si>
  <si>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</si>
  <si>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</si>
  <si>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</si>
  <si>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</si>
  <si>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</si>
  <si>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</si>
  <si>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</si>
  <si>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</si>
  <si>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</si>
  <si>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</si>
  <si>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</si>
  <si>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</si>
  <si>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</si>
  <si>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</si>
  <si>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</si>
  <si>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</si>
  <si>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</si>
  <si>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</si>
  <si>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</si>
  <si>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</si>
  <si>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</si>
  <si>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</si>
  <si>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</si>
  <si>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</si>
  <si>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</si>
  <si>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</si>
  <si>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</si>
  <si>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</si>
  <si>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</si>
  <si>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</si>
  <si>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</si>
  <si>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</si>
  <si>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</si>
  <si>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</si>
  <si>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</si>
  <si>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</si>
  <si>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</si>
  <si>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</si>
  <si>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</si>
  <si>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</si>
  <si>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</si>
  <si>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</si>
  <si>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</si>
  <si>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</si>
  <si>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</si>
  <si>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</si>
  <si>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</si>
  <si>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</si>
  <si>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</si>
  <si>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</si>
  <si>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</si>
  <si>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</si>
  <si>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</si>
  <si>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</si>
  <si>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</si>
  <si>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</si>
  <si>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</si>
  <si>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</si>
  <si>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</si>
  <si>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</si>
  <si>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</si>
  <si>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</si>
  <si>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</si>
  <si>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</si>
  <si>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</si>
  <si>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</si>
  <si>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</si>
  <si>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</si>
  <si>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</si>
  <si>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</si>
  <si>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</si>
  <si>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</si>
  <si>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</si>
  <si>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</si>
  <si>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</si>
  <si>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</si>
  <si>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</si>
  <si>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</si>
  <si>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</si>
  <si>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</si>
  <si>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</si>
  <si>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</si>
  <si>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</si>
  <si>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</si>
  <si>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</si>
  <si>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</si>
  <si>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</si>
  <si>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</si>
  <si>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</si>
  <si>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</si>
  <si>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</si>
  <si>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</si>
  <si>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</si>
  <si>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</si>
  <si>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</si>
  <si>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</si>
  <si>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</si>
  <si>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</si>
  <si>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</si>
  <si>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</si>
  <si>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</si>
  <si>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</si>
  <si>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</si>
  <si>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</si>
  <si>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</si>
  <si>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</si>
  <si>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</si>
  <si>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</si>
  <si>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</si>
  <si>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</si>
  <si>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</si>
  <si>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</si>
  <si>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</si>
  <si>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</si>
  <si>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</si>
  <si>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</si>
  <si>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</si>
  <si>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</si>
  <si>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</si>
  <si>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</si>
  <si>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</si>
  <si>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</si>
  <si>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</si>
  <si>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</si>
  <si>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</si>
  <si>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</si>
  <si>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Kholil Mohammad Fazley</t>
  </si>
  <si>
    <t xml:space="preserve">Rohoman Mohammad Mouhsine </t>
  </si>
  <si>
    <t>Fazley</t>
  </si>
  <si>
    <t>Mouhsine</t>
  </si>
  <si>
    <t>Sathan Dassen</t>
  </si>
  <si>
    <t>Dassen</t>
  </si>
  <si>
    <t>Role</t>
  </si>
  <si>
    <t>Developer</t>
  </si>
  <si>
    <t>Scrum master/product owner</t>
  </si>
  <si>
    <t>FR1</t>
  </si>
  <si>
    <t>ID1</t>
  </si>
  <si>
    <t>Design ERD</t>
  </si>
  <si>
    <t>In progress</t>
  </si>
  <si>
    <t>NFR2</t>
  </si>
  <si>
    <t>ID2</t>
  </si>
  <si>
    <t>Injection</t>
  </si>
  <si>
    <t>FR2</t>
  </si>
  <si>
    <t>ID3</t>
  </si>
  <si>
    <t>Architecture review</t>
  </si>
  <si>
    <t>FR3</t>
  </si>
  <si>
    <t>ID4</t>
  </si>
  <si>
    <t>UML</t>
  </si>
</sst>
</file>

<file path=xl/styles.xml><?xml version="1.0" encoding="utf-8"?>
<styleSheet xmlns="http://schemas.openxmlformats.org/spreadsheetml/2006/main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1" fontId="33" fillId="20" borderId="0" xfId="0" applyNumberFormat="1" applyFont="1" applyFill="1" applyBorder="1"/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51">
    <dxf>
      <fill>
        <patternFill patternType="solid">
          <fgColor indexed="64"/>
          <bgColor indexed="10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nsert New Line At End"/>
  <ax:ocxPr ax:name="Size" ax:value="3440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nsert New Line"/>
  <ax:ocxPr ax:name="Size" ax:value="2937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style val="26"/>
  <c:chart>
    <c:title>
      <c:tx>
        <c:rich>
          <a:bodyPr/>
          <a:lstStyle/>
          <a:p>
            <a:pPr>
              <a:defRPr lang="en-US"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</c:title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/>
        <c:axId val="77569408"/>
        <c:axId val="77587968"/>
      </c:areaChart>
      <c:catAx>
        <c:axId val="77569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lang="en-US"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76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 lang="en-US"/>
            </a:pPr>
            <a:endParaRPr lang="en-US"/>
          </a:p>
        </c:txPr>
        <c:crossAx val="7758796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7587968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lang="en-US"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</c:title>
        <c:numFmt formatCode="General" sourceLinked="1"/>
        <c:tickLblPos val="none"/>
        <c:txPr>
          <a:bodyPr/>
          <a:lstStyle/>
          <a:p>
            <a:pPr>
              <a:defRPr lang="en-US"/>
            </a:pPr>
            <a:endParaRPr lang="en-US"/>
          </a:p>
        </c:txPr>
        <c:crossAx val="77569408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413"/>
          <c:w val="0.92308569067755464"/>
          <c:h val="7.5018075570742374E-2"/>
        </c:manualLayout>
      </c:layout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style val="26"/>
  <c:chart>
    <c:title>
      <c:tx>
        <c:rich>
          <a:bodyPr/>
          <a:lstStyle/>
          <a:p>
            <a:pPr>
              <a:defRPr lang="en-US"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</c:title>
    <c:plotArea>
      <c:layout>
        <c:manualLayout>
          <c:layoutTarget val="inner"/>
          <c:xMode val="edge"/>
          <c:yMode val="edge"/>
          <c:x val="0.10112573868321184"/>
          <c:y val="0.17669172932330818"/>
          <c:w val="0.87100657289633654"/>
          <c:h val="0.46992481203007752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41</c:v>
                </c:pt>
                <c:pt idx="1">
                  <c:v>41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31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/>
        <c:axId val="86519808"/>
        <c:axId val="86521728"/>
      </c:areaChart>
      <c:lineChart>
        <c:grouping val="standard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36</c:v>
                </c:pt>
                <c:pt idx="1">
                  <c:v>31</c:v>
                </c:pt>
                <c:pt idx="2">
                  <c:v>27</c:v>
                </c:pt>
                <c:pt idx="3">
                  <c:v>21</c:v>
                </c:pt>
                <c:pt idx="4">
                  <c:v>17</c:v>
                </c:pt>
                <c:pt idx="5">
                  <c:v>14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dLbls>
            <c:txPr>
              <a:bodyPr/>
              <a:lstStyle/>
              <a:p>
                <a:pPr>
                  <a:defRPr lang="en-US"/>
                </a:pPr>
                <a:endParaRPr lang="en-US"/>
              </a:p>
            </c:txPr>
            <c:dLblPos val="l"/>
            <c:showVal val="1"/>
          </c:dLbls>
          <c:val>
            <c:numRef>
              <c:f>Analysis!$E$24:$R$24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14</c:v>
                </c:pt>
                <c:pt idx="3">
                  <c:v>20</c:v>
                </c:pt>
                <c:pt idx="4">
                  <c:v>24</c:v>
                </c:pt>
                <c:pt idx="5">
                  <c:v>27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/>
        <c:marker val="1"/>
        <c:axId val="86519808"/>
        <c:axId val="86521728"/>
      </c:lineChart>
      <c:catAx>
        <c:axId val="86519808"/>
        <c:scaling>
          <c:orientation val="minMax"/>
        </c:scaling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 lang="en-US"/>
            </a:pPr>
            <a:endParaRPr lang="en-US"/>
          </a:p>
        </c:txPr>
        <c:crossAx val="8652172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86521728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08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lang="en-US"/>
            </a:pPr>
            <a:endParaRPr lang="en-US"/>
          </a:p>
        </c:txPr>
        <c:crossAx val="8651980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zero"/>
  </c:chart>
  <c:spPr>
    <a:solidFill>
      <a:srgbClr val="FFFFFF"/>
    </a:solidFill>
  </c:spPr>
  <c:printSettings>
    <c:headerFooter/>
    <c:pageMargins b="0.75000000000000377" l="0.70000000000000062" r="0.70000000000000062" t="0.75000000000000377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val>
            <c:numRef>
              <c:f>'Project Specific Reports'!$B$2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val>
            <c:numRef>
              <c:f>'Project Specific Reports'!$B$4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val>
            <c:numRef>
              <c:f>'Project Specific Reports'!$B$5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/>
        <c:overlap val="100"/>
        <c:axId val="109684224"/>
        <c:axId val="109685760"/>
      </c:barChart>
      <c:catAx>
        <c:axId val="109684224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09685760"/>
        <c:crosses val="autoZero"/>
        <c:auto val="1"/>
        <c:lblAlgn val="ctr"/>
        <c:lblOffset val="100"/>
      </c:catAx>
      <c:valAx>
        <c:axId val="109685760"/>
        <c:scaling>
          <c:orientation val="minMax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09684224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val>
            <c:numRef>
              <c:f>'Project Specific Reports'!$B$9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val>
            <c:numRef>
              <c:f>'Project Specific Reports'!$B$10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val>
            <c:numRef>
              <c:f>'Project Specific Reports'!$B$12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val>
            <c:numRef>
              <c:f>'Project Specific Reports'!$B$13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/>
        <c:overlap val="100"/>
        <c:axId val="109765376"/>
        <c:axId val="109766912"/>
      </c:barChart>
      <c:catAx>
        <c:axId val="109765376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09766912"/>
        <c:crosses val="autoZero"/>
        <c:auto val="1"/>
        <c:lblAlgn val="ctr"/>
        <c:lblOffset val="100"/>
      </c:catAx>
      <c:valAx>
        <c:axId val="109766912"/>
        <c:scaling>
          <c:orientation val="minMax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09765376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val>
            <c:numRef>
              <c:f>'Project Specific Reports'!$B$28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val>
            <c:numRef>
              <c:f>'Project Specific Reports'!$B$29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val>
            <c:numRef>
              <c:f>'Project Specific Reports'!$B$30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/>
        <c:overlap val="100"/>
        <c:axId val="109939328"/>
        <c:axId val="109953408"/>
      </c:barChart>
      <c:catAx>
        <c:axId val="109939328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09953408"/>
        <c:crosses val="autoZero"/>
        <c:auto val="1"/>
        <c:lblAlgn val="ctr"/>
        <c:lblOffset val="100"/>
      </c:catAx>
      <c:valAx>
        <c:axId val="109953408"/>
        <c:scaling>
          <c:orientation val="minMax"/>
        </c:scaling>
        <c:axPos val="l"/>
        <c:majorGridlines/>
        <c:numFmt formatCode="0%" sourceLinked="1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109939328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E71"/>
  <sheetViews>
    <sheetView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G7" sqref="G7"/>
    </sheetView>
  </sheetViews>
  <sheetFormatPr defaultRowHeight="12.75" outlineLevelCol="1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8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>
      <c r="A1" s="1"/>
      <c r="B1" s="1"/>
      <c r="C1" s="1"/>
      <c r="D1" s="1"/>
      <c r="E1" s="2"/>
      <c r="F1" s="3" t="s">
        <v>23</v>
      </c>
      <c r="G1" s="4">
        <f ca="1">SprintStart</f>
        <v>42241</v>
      </c>
      <c r="H1" s="1"/>
      <c r="I1" s="1"/>
      <c r="J1" s="187">
        <f ca="1">SprintStart</f>
        <v>42241</v>
      </c>
      <c r="K1" s="187"/>
      <c r="L1" s="187"/>
      <c r="M1" s="187">
        <f ca="1">IF(AND(SkipWeekends, WEEKDAY(J1)=6),J1+3, J1+1)</f>
        <v>42242</v>
      </c>
      <c r="N1" s="187"/>
      <c r="O1" s="187"/>
      <c r="P1" s="187">
        <f ca="1">IF(AND(SkipWeekends, WEEKDAY(M1)=6),M1+3, M1+1)</f>
        <v>42243</v>
      </c>
      <c r="Q1" s="187"/>
      <c r="R1" s="187"/>
      <c r="S1" s="187">
        <f ca="1">IF(AND(SkipWeekends, WEEKDAY(P1)=6),P1+3, P1+1)</f>
        <v>42244</v>
      </c>
      <c r="T1" s="187"/>
      <c r="U1" s="187"/>
      <c r="V1" s="187">
        <f ca="1">IF(AND(SkipWeekends, WEEKDAY(S1)=6),S1+3, S1+1)</f>
        <v>42245</v>
      </c>
      <c r="W1" s="187"/>
      <c r="X1" s="187"/>
      <c r="Y1" s="187">
        <f ca="1">IF(AND(SkipWeekends, WEEKDAY(V1)=6),V1+3, V1+1)</f>
        <v>42246</v>
      </c>
      <c r="Z1" s="187"/>
      <c r="AA1" s="187"/>
      <c r="AB1" s="187">
        <f ca="1">IF(AND(SkipWeekends, WEEKDAY(Y1)=6),Y1+3, Y1+1)</f>
        <v>42247</v>
      </c>
      <c r="AC1" s="187"/>
      <c r="AD1" s="187"/>
      <c r="AE1" s="187">
        <f ca="1">IF(AND(SkipWeekends, WEEKDAY(AB1)=6),AB1+3, AB1+1)</f>
        <v>42248</v>
      </c>
      <c r="AF1" s="187"/>
      <c r="AG1" s="187"/>
      <c r="AH1" s="187">
        <f ca="1">IF(AND(SkipWeekends, WEEKDAY(AE1)=6),AE1+3, AE1+1)</f>
        <v>42249</v>
      </c>
      <c r="AI1" s="187"/>
      <c r="AJ1" s="187"/>
      <c r="AK1" s="187">
        <f ca="1">IF(AND(SkipWeekends, WEEKDAY(AH1)=6),AH1+3, AH1+1)</f>
        <v>42250</v>
      </c>
      <c r="AL1" s="187"/>
      <c r="AM1" s="187"/>
      <c r="AN1" s="187">
        <f ca="1">IF(AND(SkipWeekends, WEEKDAY(AK1)=6),AK1+3, AK1+1)</f>
        <v>42251</v>
      </c>
      <c r="AO1" s="187"/>
      <c r="AP1" s="187"/>
      <c r="AQ1" s="187">
        <f ca="1">IF(AND(SkipWeekends, WEEKDAY(AN1)=6),AN1+3, AN1+1)</f>
        <v>42252</v>
      </c>
      <c r="AR1" s="187"/>
      <c r="AS1" s="187"/>
      <c r="AT1" s="187">
        <f ca="1">IF(AND(SkipWeekends, WEEKDAY(AQ1)=6),AQ1+3, AQ1+1)</f>
        <v>42253</v>
      </c>
      <c r="AU1" s="187"/>
      <c r="AV1" s="187"/>
      <c r="AW1" s="187">
        <f ca="1">IF(AND(SkipWeekends, WEEKDAY(AT1)=6),AT1+3, AT1+1)</f>
        <v>42254</v>
      </c>
      <c r="AX1" s="187"/>
      <c r="AY1" s="187"/>
      <c r="AZ1" s="187" t="e">
        <f>IF(AND(SkipWeekends, WEEKDAY(#REF!)=6),#REF!+3,#REF!+ 1)</f>
        <v>#REF!</v>
      </c>
      <c r="BA1" s="187"/>
      <c r="BB1" s="187"/>
      <c r="BC1" s="187" t="e">
        <f>IF(AND(SkipWeekends, WEEKDAY(AZ1)=6),AZ1+3, AZ1+1)</f>
        <v>#REF!</v>
      </c>
      <c r="BD1" s="187"/>
      <c r="BE1" s="187"/>
      <c r="BF1" s="187" t="e">
        <f>IF(AND(SkipWeekends, WEEKDAY(BC1)=6),BC1+3, BC1+1)</f>
        <v>#REF!</v>
      </c>
      <c r="BG1" s="187"/>
      <c r="BH1" s="187"/>
      <c r="BI1" s="187" t="e">
        <f>IF(AND(SkipWeekends, WEEKDAY(BF1)=6),BF1+3, BF1+1)</f>
        <v>#REF!</v>
      </c>
      <c r="BJ1" s="187"/>
      <c r="BK1" s="187"/>
      <c r="BL1" s="187" t="e">
        <f>IF(AND(SkipWeekends, WEEKDAY(BI1)=6),BI1+3, BI1+1)</f>
        <v>#REF!</v>
      </c>
      <c r="BM1" s="187"/>
      <c r="BN1" s="187"/>
      <c r="BO1" s="187" t="e">
        <f>IF(AND(SkipWeekends, WEEKDAY(BL1)=6),BL1+3, BL1+1)</f>
        <v>#REF!</v>
      </c>
      <c r="BP1" s="187"/>
      <c r="BQ1" s="187"/>
      <c r="BR1" s="187" t="e">
        <f>IF(AND(SkipWeekends, WEEKDAY(BO1)=6),BO1+3, BO1+1)</f>
        <v>#REF!</v>
      </c>
      <c r="BS1" s="187"/>
      <c r="BT1" s="187"/>
      <c r="BU1" s="187" t="e">
        <f>IF(AND(SkipWeekends, WEEKDAY(BR1)=6),BR1+3, BR1+1)</f>
        <v>#REF!</v>
      </c>
      <c r="BV1" s="187"/>
      <c r="BW1" s="187"/>
      <c r="BX1" s="187" t="e">
        <f>IF(AND(SkipWeekends, WEEKDAY(BU1)=6),BU1+3, BU1+1)</f>
        <v>#REF!</v>
      </c>
      <c r="BY1" s="187"/>
      <c r="BZ1" s="187"/>
      <c r="CA1" s="187" t="e">
        <f>IF(AND(SkipWeekends, WEEKDAY(BX1)=6),BX1+3, BX1+1)</f>
        <v>#REF!</v>
      </c>
      <c r="CB1" s="187"/>
      <c r="CC1" s="187"/>
      <c r="CD1" s="5"/>
      <c r="CE1" s="1"/>
    </row>
    <row r="2" spans="1:83">
      <c r="A2" s="1"/>
      <c r="B2" s="1"/>
      <c r="C2" s="1"/>
      <c r="D2" s="1"/>
      <c r="E2" s="7"/>
      <c r="F2" s="8"/>
      <c r="G2" s="9"/>
      <c r="H2" s="1"/>
      <c r="I2" s="1"/>
      <c r="J2" s="151"/>
      <c r="K2" s="151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>
      <c r="A3" s="11" t="s">
        <v>101</v>
      </c>
      <c r="B3" s="11" t="s">
        <v>102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2" t="s">
        <v>12</v>
      </c>
      <c r="K3" s="153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>
      <c r="A4" s="16" t="s">
        <v>104</v>
      </c>
      <c r="B4" s="16" t="s">
        <v>109</v>
      </c>
      <c r="C4" s="16" t="s">
        <v>142</v>
      </c>
      <c r="D4" s="17" t="s">
        <v>143</v>
      </c>
      <c r="E4" s="177" t="s">
        <v>144</v>
      </c>
      <c r="F4" s="18" t="s">
        <v>135</v>
      </c>
      <c r="G4" s="19" t="s">
        <v>128</v>
      </c>
      <c r="H4" s="20">
        <v>2</v>
      </c>
      <c r="I4" s="21">
        <v>10</v>
      </c>
      <c r="J4" s="22">
        <v>1</v>
      </c>
      <c r="K4" s="22">
        <f t="shared" ref="K4" si="0">MAX(I4-J4, 0)</f>
        <v>9</v>
      </c>
      <c r="L4" s="23" t="str">
        <f>IF(SUMPRODUCT($J$64:K$64,$J4:K4)&lt;0.5, "Pending", IF(K4&lt;0.5, "Complete", "In Progress"))</f>
        <v>In Progress</v>
      </c>
      <c r="M4" s="22">
        <v>1</v>
      </c>
      <c r="N4" s="22">
        <f t="shared" ref="N4" si="1">MAX(K4-M4,0)</f>
        <v>8</v>
      </c>
      <c r="O4" s="23" t="str">
        <f>IF(SUMPRODUCT($J$64:N$64,$J4:N4)&lt;0.5, "Pending", IF(N4&lt;0.5, "Complete", "In Progress"))</f>
        <v>In Progress</v>
      </c>
      <c r="P4" s="22">
        <v>2</v>
      </c>
      <c r="Q4" s="22">
        <f t="shared" ref="Q4" si="2">MAX(N4-P4,0)</f>
        <v>6</v>
      </c>
      <c r="R4" s="23" t="str">
        <f>IF(SUMPRODUCT($J$64:Q$64,$J4:Q4)&lt;0.5, "Pending", IF(Q4&lt;0.5, "Complete", "In Progress"))</f>
        <v>In Progress</v>
      </c>
      <c r="S4" s="22">
        <v>3</v>
      </c>
      <c r="T4" s="22">
        <f t="shared" ref="T4" si="3">MAX(Q4-S4,0)</f>
        <v>3</v>
      </c>
      <c r="U4" s="23" t="str">
        <f>IF(SUMPRODUCT($J$64:T$64,$J4:T4)&lt;0.5, "Pending", IF(T4&lt;0.5, "Complete", "In Progress"))</f>
        <v>In Progress</v>
      </c>
      <c r="V4" s="22">
        <v>2</v>
      </c>
      <c r="W4" s="22">
        <f t="shared" ref="W4" si="4">MAX(T4-V4,0)</f>
        <v>1</v>
      </c>
      <c r="X4" s="23" t="str">
        <f>IF(SUMPRODUCT($J$64:W$64,$J4:W4)&lt;0.5, "Pending", IF(W4&lt;0.5, "Complete", "In Progress"))</f>
        <v>In Progress</v>
      </c>
      <c r="Y4" s="22">
        <v>1</v>
      </c>
      <c r="Z4" s="22">
        <f t="shared" ref="Z4" si="5">MAX(W4-Y4,0)</f>
        <v>0</v>
      </c>
      <c r="AA4" s="23" t="str">
        <f>IF(SUMPRODUCT($J$64:Z$64,$J4:Z4)&lt;0.5, "Pending", IF(Z4&lt;0.5, "Complete", "In Progress"))</f>
        <v>Complete</v>
      </c>
      <c r="AB4" s="22">
        <v>0</v>
      </c>
      <c r="AC4" s="22">
        <f t="shared" ref="AC4" si="6">MAX(Z4-AB4,0)</f>
        <v>0</v>
      </c>
      <c r="AD4" s="23" t="str">
        <f>IF(SUMPRODUCT($J$64:AC$64,$J4:AC4)&lt;0.5, "Pending", IF(AC4&lt;0.5, "Complete", "In Progress"))</f>
        <v>Complete</v>
      </c>
      <c r="AE4" s="22">
        <v>0</v>
      </c>
      <c r="AF4" s="22">
        <f t="shared" ref="AF4" si="7">MAX(AC4-AE4,0)</f>
        <v>0</v>
      </c>
      <c r="AG4" s="23" t="str">
        <f>IF(SUMPRODUCT($J$64:AF$64,$J4:AF4)&lt;0.5, "Pending", IF(AF4&lt;0.5, "Complete", "In Progress"))</f>
        <v>Complete</v>
      </c>
      <c r="AH4" s="22">
        <v>0</v>
      </c>
      <c r="AI4" s="22">
        <f t="shared" ref="AI4" si="8">MAX(AF4-AH4,0)</f>
        <v>0</v>
      </c>
      <c r="AJ4" s="23" t="str">
        <f>IF(SUMPRODUCT($J$64:AI$64,$J4:AI4)&lt;0.5, "Pending", IF(AI4&lt;0.5, "Complete", "In Progress"))</f>
        <v>Complete</v>
      </c>
      <c r="AK4" s="22">
        <v>0</v>
      </c>
      <c r="AL4" s="22">
        <f t="shared" ref="AL4" si="9">MAX(AI4-AK4,0)</f>
        <v>0</v>
      </c>
      <c r="AM4" s="23" t="str">
        <f>IF(SUMPRODUCT($J$64:AL$64,$J4:AL4)&lt;0.5, "Pending", IF(AL4&lt;0.5, "Complete", "In Progress"))</f>
        <v>Complete</v>
      </c>
      <c r="AN4" s="22">
        <v>0</v>
      </c>
      <c r="AO4" s="22">
        <f t="shared" ref="AO4" si="10">MAX(AL4-AN4,0)</f>
        <v>0</v>
      </c>
      <c r="AP4" s="23" t="str">
        <f>IF(SUMPRODUCT($J$64:AO$64,$J4:AO4)&lt;0.5, "Pending", IF(AO4&lt;0.5, "Complete", "In Progress"))</f>
        <v>Complete</v>
      </c>
      <c r="AQ4" s="22">
        <v>0</v>
      </c>
      <c r="AR4" s="22">
        <f t="shared" ref="AR4" si="11">MAX(AO4-AQ4,0)</f>
        <v>0</v>
      </c>
      <c r="AS4" s="23" t="str">
        <f>IF(SUMPRODUCT($J$64:AR$64,$J4:AR4)&lt;0.5, "Pending", IF(AR4&lt;0.5, "Complete", "In Progress"))</f>
        <v>Complete</v>
      </c>
      <c r="AT4" s="22">
        <v>0</v>
      </c>
      <c r="AU4" s="22">
        <f t="shared" ref="AU4" si="12">MAX(AR4-AT4,0)</f>
        <v>0</v>
      </c>
      <c r="AV4" s="23" t="str">
        <f>IF(SUMPRODUCT($J$64:AU$64,$J4:AU4)&lt;0.5, "Pending", IF(AU4&lt;0.5, "Complete", "In Progress"))</f>
        <v>Complete</v>
      </c>
      <c r="AW4" s="22">
        <v>0</v>
      </c>
      <c r="AX4" s="22">
        <f t="shared" ref="AX4" si="13">MAX(AU4-AW4,0)</f>
        <v>0</v>
      </c>
      <c r="AY4" s="23" t="str">
        <f>IF(SUMPRODUCT($J$64:AX$64,$J4:AX4)&lt;0.5,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10</v>
      </c>
    </row>
    <row r="5" spans="1:83">
      <c r="A5" s="16" t="s">
        <v>106</v>
      </c>
      <c r="B5" s="16" t="s">
        <v>113</v>
      </c>
      <c r="C5" s="16" t="s">
        <v>146</v>
      </c>
      <c r="D5" s="17" t="s">
        <v>147</v>
      </c>
      <c r="E5" s="177" t="s">
        <v>148</v>
      </c>
      <c r="F5" s="18" t="s">
        <v>136</v>
      </c>
      <c r="G5" s="19" t="s">
        <v>145</v>
      </c>
      <c r="H5" s="20">
        <v>1</v>
      </c>
      <c r="I5" s="21">
        <v>7</v>
      </c>
      <c r="J5" s="22">
        <v>1</v>
      </c>
      <c r="K5" s="22">
        <f t="shared" ref="K5:K60" si="23">MAX(I5-J5, 0)</f>
        <v>6</v>
      </c>
      <c r="L5" s="23" t="str">
        <f>IF(SUMPRODUCT($J$64:K$64,$J5:K5)&lt;0.5, "Pending", IF(K5&lt;0.5, "Complete", "In Progress"))</f>
        <v>In Progress</v>
      </c>
      <c r="M5" s="22">
        <v>1</v>
      </c>
      <c r="N5" s="22">
        <f t="shared" ref="N5:N60" si="24">MAX(K5-M5,0)</f>
        <v>5</v>
      </c>
      <c r="O5" s="23" t="str">
        <f>IF(SUMPRODUCT($J$64:N$64,$J5:N5)&lt;0.5, "Pending", IF(N5&lt;0.5, "Complete", "In Progress"))</f>
        <v>In Progress</v>
      </c>
      <c r="P5" s="22">
        <v>1</v>
      </c>
      <c r="Q5" s="22">
        <f t="shared" ref="Q5:Q60" si="25">MAX(N5-P5,0)</f>
        <v>4</v>
      </c>
      <c r="R5" s="23" t="str">
        <f>IF(SUMPRODUCT($J$64:Q$64,$J5:Q5)&lt;0.5, "Pending", IF(Q5&lt;0.5, "Complete", "In Progress"))</f>
        <v>In Progress</v>
      </c>
      <c r="S5" s="22">
        <v>1</v>
      </c>
      <c r="T5" s="22">
        <f t="shared" ref="T5:T60" si="26">MAX(Q5-S5,0)</f>
        <v>3</v>
      </c>
      <c r="U5" s="23" t="str">
        <f>IF(SUMPRODUCT($J$64:T$64,$J5:T5)&lt;0.5, "Pending", IF(T5&lt;0.5, "Complete", "In Progress"))</f>
        <v>In Progress</v>
      </c>
      <c r="V5" s="22">
        <v>1</v>
      </c>
      <c r="W5" s="22">
        <f t="shared" ref="W5:W60" si="27">MAX(T5-V5,0)</f>
        <v>2</v>
      </c>
      <c r="X5" s="23" t="str">
        <f>IF(SUMPRODUCT($J$64:W$64,$J5:W5)&lt;0.5, "Pending", IF(W5&lt;0.5, "Complete", "In Progress"))</f>
        <v>In Progress</v>
      </c>
      <c r="Y5" s="22">
        <v>0</v>
      </c>
      <c r="Z5" s="22">
        <f t="shared" ref="Z5:Z60" si="28">MAX(W5-Y5,0)</f>
        <v>2</v>
      </c>
      <c r="AA5" s="23" t="str">
        <f>IF(SUMPRODUCT($J$64:Z$64,$J5:Z5)&lt;0.5, "Pending", IF(Z5&lt;0.5, "Complete", "In Progress"))</f>
        <v>In Progress</v>
      </c>
      <c r="AB5" s="22">
        <v>0</v>
      </c>
      <c r="AC5" s="22">
        <f t="shared" ref="AC5:AC60" si="29">MAX(Z5-AB5,0)</f>
        <v>2</v>
      </c>
      <c r="AD5" s="23" t="str">
        <f>IF(SUMPRODUCT($J$64:AC$64,$J5:AC5)&lt;0.5, "Pending", IF(AC5&lt;0.5, "Complete", "In Progress"))</f>
        <v>In Progress</v>
      </c>
      <c r="AE5" s="22">
        <v>0</v>
      </c>
      <c r="AF5" s="22">
        <f t="shared" ref="AF5:AF60" si="30">MAX(AC5-AE5,0)</f>
        <v>2</v>
      </c>
      <c r="AG5" s="23" t="str">
        <f>IF(SUMPRODUCT($J$64:AF$64,$J5:AF5)&lt;0.5, "Pending", IF(AF5&lt;0.5, "Complete", "In Progress"))</f>
        <v>In Progress</v>
      </c>
      <c r="AH5" s="22">
        <v>0</v>
      </c>
      <c r="AI5" s="22">
        <f t="shared" ref="AI5:AI60" si="31">MAX(AF5-AH5,0)</f>
        <v>2</v>
      </c>
      <c r="AJ5" s="23" t="str">
        <f>IF(SUMPRODUCT($J$64:AI$64,$J5:AI5)&lt;0.5, "Pending", IF(AI5&lt;0.5, "Complete", "In Progress"))</f>
        <v>In Progress</v>
      </c>
      <c r="AK5" s="22">
        <v>0</v>
      </c>
      <c r="AL5" s="22">
        <f t="shared" ref="AL5:AL60" si="32">MAX(AI5-AK5,0)</f>
        <v>2</v>
      </c>
      <c r="AM5" s="23" t="str">
        <f>IF(SUMPRODUCT($J$64:AL$64,$J5:AL5)&lt;0.5, "Pending", IF(AL5&lt;0.5, "Complete", "In Progress"))</f>
        <v>In Progress</v>
      </c>
      <c r="AN5" s="22">
        <v>0</v>
      </c>
      <c r="AO5" s="22">
        <f t="shared" ref="AO5:AO60" si="33">MAX(AL5-AN5,0)</f>
        <v>2</v>
      </c>
      <c r="AP5" s="23" t="str">
        <f>IF(SUMPRODUCT($J$64:AO$64,$J5:AO5)&lt;0.5, "Pending", IF(AO5&lt;0.5, "Complete", "In Progress"))</f>
        <v>In Progress</v>
      </c>
      <c r="AQ5" s="22">
        <v>0</v>
      </c>
      <c r="AR5" s="22">
        <f t="shared" ref="AR5:AR60" si="34">MAX(AO5-AQ5,0)</f>
        <v>2</v>
      </c>
      <c r="AS5" s="23" t="str">
        <f>IF(SUMPRODUCT($J$64:AR$64,$J5:AR5)&lt;0.5, "Pending", IF(AR5&lt;0.5, "Complete", "In Progress"))</f>
        <v>In Progress</v>
      </c>
      <c r="AT5" s="22">
        <v>0</v>
      </c>
      <c r="AU5" s="22">
        <f t="shared" ref="AU5:AU60" si="35">MAX(AR5-AT5,0)</f>
        <v>2</v>
      </c>
      <c r="AV5" s="23" t="str">
        <f>IF(SUMPRODUCT($J$64:AU$64,$J5:AU5)&lt;0.5, "Pending", IF(AU5&lt;0.5, "Complete", "In Progress"))</f>
        <v>In Progress</v>
      </c>
      <c r="AW5" s="22">
        <v>0</v>
      </c>
      <c r="AX5" s="22">
        <f t="shared" ref="AX5:AX60" si="36">MAX(AU5-AW5,0)</f>
        <v>2</v>
      </c>
      <c r="AY5" s="23" t="str">
        <f>IF(SUMPRODUCT($J$64:AX$64,$J5:AX5)&lt;0.5, "Pending", IF(AX5&lt;0.5, "Complete", "In Progress"))</f>
        <v>In Progress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7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8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39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0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1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2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3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4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5">MAX(BY5-CA5,0)</f>
        <v>#REF!</v>
      </c>
      <c r="CC5" s="23" t="e">
        <f>IF(SUMPRODUCT($J$64:CB$64,$J5:CB5)&lt;0.5, "Pending", IF(CB5&lt;0.5, "Complete", "In Progress"))</f>
        <v>#REF!</v>
      </c>
      <c r="CD5" s="24"/>
      <c r="CE5" s="203">
        <f>SUMPRODUCT($H$64:AY$64,$H5:AY5)</f>
        <v>5</v>
      </c>
    </row>
    <row r="6" spans="1:83">
      <c r="A6" s="16" t="s">
        <v>107</v>
      </c>
      <c r="B6" s="16" t="s">
        <v>112</v>
      </c>
      <c r="C6" s="16" t="s">
        <v>149</v>
      </c>
      <c r="D6" s="17" t="s">
        <v>150</v>
      </c>
      <c r="E6" s="177" t="s">
        <v>151</v>
      </c>
      <c r="F6" s="18" t="s">
        <v>138</v>
      </c>
      <c r="G6" s="19" t="s">
        <v>128</v>
      </c>
      <c r="H6" s="20">
        <v>1</v>
      </c>
      <c r="I6" s="21">
        <v>12</v>
      </c>
      <c r="J6" s="22">
        <v>1</v>
      </c>
      <c r="K6" s="22">
        <f t="shared" si="23"/>
        <v>11</v>
      </c>
      <c r="L6" s="23" t="str">
        <f>IF(SUMPRODUCT($J$64:K$64,$J6:K6)&lt;0.5, "Pending", IF(K6&lt;0.5, "Complete", "In Progress"))</f>
        <v>In Progress</v>
      </c>
      <c r="M6" s="22">
        <v>1</v>
      </c>
      <c r="N6" s="22">
        <f t="shared" si="24"/>
        <v>10</v>
      </c>
      <c r="O6" s="23" t="str">
        <f>IF(SUMPRODUCT($J$64:N$64,$J6:N6)&lt;0.5, "Pending", IF(N6&lt;0.5, "Complete", "In Progress"))</f>
        <v>In Progress</v>
      </c>
      <c r="P6" s="22">
        <v>1</v>
      </c>
      <c r="Q6" s="22">
        <f t="shared" si="25"/>
        <v>9</v>
      </c>
      <c r="R6" s="23" t="str">
        <f>IF(SUMPRODUCT($J$64:Q$64,$J6:Q6)&lt;0.5, "Pending", IF(Q6&lt;0.5, "Complete", "In Progress"))</f>
        <v>In Progress</v>
      </c>
      <c r="S6" s="22">
        <v>1</v>
      </c>
      <c r="T6" s="22">
        <f t="shared" si="26"/>
        <v>8</v>
      </c>
      <c r="U6" s="23" t="str">
        <f>IF(SUMPRODUCT($J$64:T$64,$J6:T6)&lt;0.5, "Pending", IF(T6&lt;0.5, "Complete", "In Progress"))</f>
        <v>In Progress</v>
      </c>
      <c r="V6" s="22">
        <v>1</v>
      </c>
      <c r="W6" s="22">
        <f t="shared" si="27"/>
        <v>7</v>
      </c>
      <c r="X6" s="23" t="str">
        <f>IF(SUMPRODUCT($J$64:W$64,$J6:W6)&lt;0.5, "Pending", IF(W6&lt;0.5, "Complete", "In Progress"))</f>
        <v>In Progress</v>
      </c>
      <c r="Y6" s="22">
        <v>1</v>
      </c>
      <c r="Z6" s="22">
        <f t="shared" si="28"/>
        <v>6</v>
      </c>
      <c r="AA6" s="23" t="str">
        <f>IF(SUMPRODUCT($J$64:Z$64,$J6:Z6)&lt;0.5, "Pending", IF(Z6&lt;0.5, "Complete", "In Progress"))</f>
        <v>In Progress</v>
      </c>
      <c r="AB6" s="22">
        <v>1</v>
      </c>
      <c r="AC6" s="22">
        <f t="shared" si="29"/>
        <v>5</v>
      </c>
      <c r="AD6" s="23" t="str">
        <f>IF(SUMPRODUCT($J$64:AC$64,$J6:AC6)&lt;0.5, "Pending", IF(AC6&lt;0.5, "Complete", "In Progress"))</f>
        <v>In Progress</v>
      </c>
      <c r="AE6" s="22">
        <v>1</v>
      </c>
      <c r="AF6" s="22">
        <f t="shared" si="30"/>
        <v>4</v>
      </c>
      <c r="AG6" s="23" t="str">
        <f>IF(SUMPRODUCT($J$64:AF$64,$J6:AF6)&lt;0.5, "Pending", IF(AF6&lt;0.5, "Complete", "In Progress"))</f>
        <v>In Progress</v>
      </c>
      <c r="AH6" s="22">
        <v>1</v>
      </c>
      <c r="AI6" s="22">
        <f t="shared" si="31"/>
        <v>3</v>
      </c>
      <c r="AJ6" s="23" t="str">
        <f>IF(SUMPRODUCT($J$64:AI$64,$J6:AI6)&lt;0.5, "Pending", IF(AI6&lt;0.5, "Complete", "In Progress"))</f>
        <v>In Progress</v>
      </c>
      <c r="AK6" s="22">
        <v>1</v>
      </c>
      <c r="AL6" s="22">
        <f t="shared" si="32"/>
        <v>2</v>
      </c>
      <c r="AM6" s="23" t="str">
        <f>IF(SUMPRODUCT($J$64:AL$64,$J6:AL6)&lt;0.5, "Pending", IF(AL6&lt;0.5, "Complete", "In Progress"))</f>
        <v>In Progress</v>
      </c>
      <c r="AN6" s="22">
        <v>1</v>
      </c>
      <c r="AO6" s="22">
        <f t="shared" si="33"/>
        <v>1</v>
      </c>
      <c r="AP6" s="23" t="str">
        <f>IF(SUMPRODUCT($J$64:AO$64,$J6:AO6)&lt;0.5, "Pending", IF(AO6&lt;0.5, "Complete", "In Progress"))</f>
        <v>In Progress</v>
      </c>
      <c r="AQ6" s="22">
        <v>0</v>
      </c>
      <c r="AR6" s="22">
        <f t="shared" si="34"/>
        <v>1</v>
      </c>
      <c r="AS6" s="23" t="str">
        <f>IF(SUMPRODUCT($J$64:AR$64,$J6:AR6)&lt;0.5, "Pending", IF(AR6&lt;0.5, "Complete", "In Progress"))</f>
        <v>In Progress</v>
      </c>
      <c r="AT6" s="22">
        <v>0</v>
      </c>
      <c r="AU6" s="22">
        <f t="shared" si="35"/>
        <v>1</v>
      </c>
      <c r="AV6" s="23" t="str">
        <f>IF(SUMPRODUCT($J$64:AU$64,$J6:AU6)&lt;0.5, "Pending", IF(AU6&lt;0.5, "Complete", "In Progress"))</f>
        <v>In Progress</v>
      </c>
      <c r="AW6" s="22">
        <v>1</v>
      </c>
      <c r="AX6" s="22">
        <f t="shared" si="36"/>
        <v>0</v>
      </c>
      <c r="AY6" s="23" t="str">
        <f>IF(SUMPRODUCT($J$64:AX$64,$J6:AX6)&lt;0.5,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12</v>
      </c>
    </row>
    <row r="7" spans="1:83">
      <c r="A7" s="16" t="s">
        <v>104</v>
      </c>
      <c r="B7" s="16" t="s">
        <v>110</v>
      </c>
      <c r="C7" s="16" t="s">
        <v>152</v>
      </c>
      <c r="D7" s="17" t="s">
        <v>153</v>
      </c>
      <c r="E7" s="177" t="s">
        <v>154</v>
      </c>
      <c r="F7" s="18" t="s">
        <v>132</v>
      </c>
      <c r="G7" s="19" t="s">
        <v>128</v>
      </c>
      <c r="H7" s="20">
        <v>5</v>
      </c>
      <c r="I7" s="21">
        <v>12</v>
      </c>
      <c r="J7" s="22">
        <v>2</v>
      </c>
      <c r="K7" s="22">
        <f t="shared" si="23"/>
        <v>10</v>
      </c>
      <c r="L7" s="23" t="str">
        <f>IF(SUMPRODUCT($J$64:K$64,$J7:K7)&lt;0.5, "Pending", IF(K7&lt;0.5, "Complete", "In Progress"))</f>
        <v>In Progress</v>
      </c>
      <c r="M7" s="22">
        <v>2</v>
      </c>
      <c r="N7" s="22">
        <f t="shared" si="24"/>
        <v>8</v>
      </c>
      <c r="O7" s="23" t="str">
        <f>IF(SUMPRODUCT($J$64:N$64,$J7:N7)&lt;0.5, "Pending", IF(N7&lt;0.5, "Complete", "In Progress"))</f>
        <v>In Progress</v>
      </c>
      <c r="P7" s="22">
        <v>0</v>
      </c>
      <c r="Q7" s="22">
        <f t="shared" si="25"/>
        <v>8</v>
      </c>
      <c r="R7" s="23" t="str">
        <f>IF(SUMPRODUCT($J$64:Q$64,$J7:Q7)&lt;0.5, "Pending", IF(Q7&lt;0.5, "Complete", "In Progress"))</f>
        <v>In Progress</v>
      </c>
      <c r="S7" s="22">
        <v>1</v>
      </c>
      <c r="T7" s="22">
        <f t="shared" si="26"/>
        <v>7</v>
      </c>
      <c r="U7" s="23" t="str">
        <f>IF(SUMPRODUCT($J$64:T$64,$J7:T7)&lt;0.5, "Pending", IF(T7&lt;0.5, "Complete", "In Progress"))</f>
        <v>In Progress</v>
      </c>
      <c r="V7" s="22">
        <v>0</v>
      </c>
      <c r="W7" s="22">
        <f t="shared" si="27"/>
        <v>7</v>
      </c>
      <c r="X7" s="23" t="str">
        <f>IF(SUMPRODUCT($J$64:W$64,$J7:W7)&lt;0.5, "Pending", IF(W7&lt;0.5, "Complete", "In Progress"))</f>
        <v>In Progress</v>
      </c>
      <c r="Y7" s="22">
        <v>1</v>
      </c>
      <c r="Z7" s="22">
        <f t="shared" si="28"/>
        <v>6</v>
      </c>
      <c r="AA7" s="23" t="str">
        <f>IF(SUMPRODUCT($J$64:Z$64,$J7:Z7)&lt;0.5, "Pending", IF(Z7&lt;0.5, "Complete", "In Progress"))</f>
        <v>In Progress</v>
      </c>
      <c r="AB7" s="22">
        <v>0</v>
      </c>
      <c r="AC7" s="22">
        <f t="shared" si="29"/>
        <v>6</v>
      </c>
      <c r="AD7" s="23" t="str">
        <f>IF(SUMPRODUCT($J$64:AC$64,$J7:AC7)&lt;0.5, "Pending", IF(AC7&lt;0.5, "Complete", "In Progress"))</f>
        <v>In Progress</v>
      </c>
      <c r="AE7" s="22">
        <v>2</v>
      </c>
      <c r="AF7" s="22">
        <f t="shared" si="30"/>
        <v>4</v>
      </c>
      <c r="AG7" s="23" t="str">
        <f>IF(SUMPRODUCT($J$64:AF$64,$J7:AF7)&lt;0.5, "Pending", IF(AF7&lt;0.5, "Complete", "In Progress"))</f>
        <v>In Progress</v>
      </c>
      <c r="AH7" s="22">
        <v>1</v>
      </c>
      <c r="AI7" s="22">
        <f t="shared" si="31"/>
        <v>3</v>
      </c>
      <c r="AJ7" s="23" t="str">
        <f>IF(SUMPRODUCT($J$64:AI$64,$J7:AI7)&lt;0.5, "Pending", IF(AI7&lt;0.5, "Complete", "In Progress"))</f>
        <v>In Progress</v>
      </c>
      <c r="AK7" s="22">
        <v>0</v>
      </c>
      <c r="AL7" s="22">
        <f t="shared" si="32"/>
        <v>3</v>
      </c>
      <c r="AM7" s="23" t="str">
        <f>IF(SUMPRODUCT($J$64:AL$64,$J7:AL7)&lt;0.5, "Pending", IF(AL7&lt;0.5, "Complete", "In Progress"))</f>
        <v>In Progress</v>
      </c>
      <c r="AN7" s="22">
        <v>0</v>
      </c>
      <c r="AO7" s="22">
        <f t="shared" si="33"/>
        <v>3</v>
      </c>
      <c r="AP7" s="23" t="str">
        <f>IF(SUMPRODUCT($J$64:AO$64,$J7:AO7)&lt;0.5, "Pending", IF(AO7&lt;0.5, "Complete", "In Progress"))</f>
        <v>In Progress</v>
      </c>
      <c r="AQ7" s="22">
        <v>0</v>
      </c>
      <c r="AR7" s="22">
        <f t="shared" si="34"/>
        <v>3</v>
      </c>
      <c r="AS7" s="23" t="str">
        <f>IF(SUMPRODUCT($J$64:AR$64,$J7:AR7)&lt;0.5, "Pending", IF(AR7&lt;0.5, "Complete", "In Progress"))</f>
        <v>In Progress</v>
      </c>
      <c r="AT7" s="22">
        <v>2</v>
      </c>
      <c r="AU7" s="22">
        <f t="shared" si="35"/>
        <v>1</v>
      </c>
      <c r="AV7" s="23" t="str">
        <f>IF(SUMPRODUCT($J$64:AU$64,$J7:AU7)&lt;0.5, "Pending", IF(AU7&lt;0.5, "Complete", "In Progress"))</f>
        <v>In Progress</v>
      </c>
      <c r="AW7" s="22">
        <v>1</v>
      </c>
      <c r="AX7" s="22">
        <f t="shared" si="36"/>
        <v>0</v>
      </c>
      <c r="AY7" s="23" t="str">
        <f>IF(SUMPRODUCT($J$64:AX$64,$J7:AX7)&lt;0.5,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IF(SUMPRODUCT($J$64:CB$64,$J7:CB7)&lt;0.5, "Pending", IF(CB7&lt;0.5, "Complete", "In Progress"))</f>
        <v>#REF!</v>
      </c>
      <c r="CD7" s="24"/>
      <c r="CE7" s="203">
        <f>SUMPRODUCT($H$64:AY$64,$H7:AY7)</f>
        <v>12</v>
      </c>
    </row>
    <row r="8" spans="1:83">
      <c r="A8" s="16"/>
      <c r="B8" s="16"/>
      <c r="C8" s="16"/>
      <c r="D8" s="17"/>
      <c r="E8" s="177"/>
      <c r="F8" s="18" t="s">
        <v>132</v>
      </c>
      <c r="G8" s="19" t="str">
        <f t="shared" ref="G8:G61" ca="1" si="46">(INDEX(Burndown,ROW(G8)-ROW(G$3),MIN(TODAY()-SprintStart,29)*3+3))</f>
        <v>Pending</v>
      </c>
      <c r="H8" s="20">
        <v>1</v>
      </c>
      <c r="I8" s="21">
        <v>0</v>
      </c>
      <c r="J8" s="22">
        <v>0</v>
      </c>
      <c r="K8" s="22">
        <f t="shared" si="23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4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5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6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7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8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29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0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1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2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3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4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5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6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>
      <c r="A9" s="16"/>
      <c r="B9" s="16"/>
      <c r="C9" s="16"/>
      <c r="D9" s="17"/>
      <c r="E9" s="177"/>
      <c r="F9" s="18" t="s">
        <v>132</v>
      </c>
      <c r="G9" s="19" t="str">
        <f t="shared" ca="1" si="46"/>
        <v>Pending</v>
      </c>
      <c r="H9" s="20">
        <v>1</v>
      </c>
      <c r="I9" s="21">
        <v>0</v>
      </c>
      <c r="J9" s="22">
        <v>0</v>
      </c>
      <c r="K9" s="22">
        <f t="shared" si="23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4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5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6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7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8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29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0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1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2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3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4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5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6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>
      <c r="A10" s="16"/>
      <c r="B10" s="16"/>
      <c r="C10" s="16"/>
      <c r="D10" s="17"/>
      <c r="E10" s="177"/>
      <c r="F10" s="18" t="s">
        <v>132</v>
      </c>
      <c r="G10" s="19" t="str">
        <f t="shared" ca="1" si="46"/>
        <v>Pending</v>
      </c>
      <c r="H10" s="20">
        <v>1</v>
      </c>
      <c r="I10" s="21">
        <v>0</v>
      </c>
      <c r="J10" s="22">
        <v>0</v>
      </c>
      <c r="K10" s="22">
        <f t="shared" si="23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4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5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6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7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8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29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0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1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2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3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4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5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6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>
      <c r="A11" s="16"/>
      <c r="B11" s="16"/>
      <c r="C11" s="16"/>
      <c r="D11" s="17"/>
      <c r="E11" s="177"/>
      <c r="F11" s="18" t="s">
        <v>132</v>
      </c>
      <c r="G11" s="19" t="str">
        <f t="shared" ca="1" si="46"/>
        <v>Pending</v>
      </c>
      <c r="H11" s="20">
        <v>1</v>
      </c>
      <c r="I11" s="21">
        <v>0</v>
      </c>
      <c r="J11" s="22">
        <v>0</v>
      </c>
      <c r="K11" s="22">
        <f t="shared" si="23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4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5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6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7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8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29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0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1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2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3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4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5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6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>
      <c r="A12" s="16"/>
      <c r="B12" s="16"/>
      <c r="C12" s="16"/>
      <c r="D12" s="17"/>
      <c r="E12" s="177"/>
      <c r="F12" s="18" t="s">
        <v>132</v>
      </c>
      <c r="G12" s="19" t="str">
        <f t="shared" ca="1" si="46"/>
        <v>Pending</v>
      </c>
      <c r="H12" s="20">
        <v>1</v>
      </c>
      <c r="I12" s="21">
        <v>0</v>
      </c>
      <c r="J12" s="22">
        <v>0</v>
      </c>
      <c r="K12" s="22">
        <f t="shared" si="23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4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5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6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7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8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29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0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1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2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3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4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5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6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>
      <c r="A13" s="16"/>
      <c r="B13" s="16"/>
      <c r="C13" s="16"/>
      <c r="D13" s="17"/>
      <c r="E13" s="177"/>
      <c r="F13" s="18" t="s">
        <v>132</v>
      </c>
      <c r="G13" s="19" t="str">
        <f t="shared" ca="1" si="46"/>
        <v>Pending</v>
      </c>
      <c r="H13" s="20">
        <v>1</v>
      </c>
      <c r="I13" s="21">
        <v>0</v>
      </c>
      <c r="J13" s="22">
        <v>0</v>
      </c>
      <c r="K13" s="22">
        <f t="shared" si="23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4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5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6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7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8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9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0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1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2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3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4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5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6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>
      <c r="A14" s="16"/>
      <c r="B14" s="16"/>
      <c r="C14" s="16"/>
      <c r="D14" s="17"/>
      <c r="E14" s="177"/>
      <c r="F14" s="18" t="s">
        <v>132</v>
      </c>
      <c r="G14" s="19" t="str">
        <f t="shared" ca="1" si="46"/>
        <v>Pending</v>
      </c>
      <c r="H14" s="20">
        <v>1</v>
      </c>
      <c r="I14" s="21">
        <v>0</v>
      </c>
      <c r="J14" s="22">
        <v>0</v>
      </c>
      <c r="K14" s="22">
        <f t="shared" si="23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4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5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6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7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8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9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0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1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2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3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4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5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6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>
      <c r="A15" s="16"/>
      <c r="B15" s="16"/>
      <c r="C15" s="16"/>
      <c r="D15" s="17"/>
      <c r="E15" s="177"/>
      <c r="F15" s="18" t="s">
        <v>132</v>
      </c>
      <c r="G15" s="19" t="str">
        <f t="shared" ca="1" si="46"/>
        <v>Pending</v>
      </c>
      <c r="H15" s="20">
        <v>1</v>
      </c>
      <c r="I15" s="21">
        <v>0</v>
      </c>
      <c r="J15" s="22">
        <v>0</v>
      </c>
      <c r="K15" s="22">
        <f t="shared" si="23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4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5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6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7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8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9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0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1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2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3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4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5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6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>
      <c r="A16" s="16"/>
      <c r="B16" s="16"/>
      <c r="C16" s="16"/>
      <c r="D16" s="17"/>
      <c r="E16" s="177"/>
      <c r="F16" s="18" t="s">
        <v>132</v>
      </c>
      <c r="G16" s="19" t="str">
        <f t="shared" ca="1" si="46"/>
        <v>Pending</v>
      </c>
      <c r="H16" s="20">
        <v>1</v>
      </c>
      <c r="I16" s="21">
        <v>0</v>
      </c>
      <c r="J16" s="22">
        <v>0</v>
      </c>
      <c r="K16" s="22">
        <f t="shared" si="23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4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5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6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7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8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9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0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1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2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3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4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5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6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>
      <c r="A17" s="16"/>
      <c r="B17" s="16"/>
      <c r="C17" s="16"/>
      <c r="D17" s="17"/>
      <c r="E17" s="177"/>
      <c r="F17" s="18" t="s">
        <v>132</v>
      </c>
      <c r="G17" s="19" t="str">
        <f t="shared" ca="1" si="46"/>
        <v>Pending</v>
      </c>
      <c r="H17" s="20">
        <v>1</v>
      </c>
      <c r="I17" s="21">
        <v>0</v>
      </c>
      <c r="J17" s="22">
        <v>0</v>
      </c>
      <c r="K17" s="22">
        <f t="shared" si="23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4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5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6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7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8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9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0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1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2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3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4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5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6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>
      <c r="A18" s="16"/>
      <c r="B18" s="16"/>
      <c r="C18" s="16"/>
      <c r="D18" s="17"/>
      <c r="E18" s="177"/>
      <c r="F18" s="18" t="s">
        <v>132</v>
      </c>
      <c r="G18" s="19" t="str">
        <f t="shared" ca="1" si="46"/>
        <v>Pending</v>
      </c>
      <c r="H18" s="20">
        <v>1</v>
      </c>
      <c r="I18" s="21">
        <v>0</v>
      </c>
      <c r="J18" s="22">
        <v>0</v>
      </c>
      <c r="K18" s="22">
        <f t="shared" si="23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4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5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6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7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8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9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0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1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2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3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4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5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6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>
      <c r="A19" s="16"/>
      <c r="B19" s="16"/>
      <c r="C19" s="16"/>
      <c r="D19" s="17"/>
      <c r="E19" s="177"/>
      <c r="F19" s="18" t="s">
        <v>132</v>
      </c>
      <c r="G19" s="19" t="str">
        <f t="shared" ca="1" si="46"/>
        <v>Pending</v>
      </c>
      <c r="H19" s="20">
        <v>1</v>
      </c>
      <c r="I19" s="21">
        <v>0</v>
      </c>
      <c r="J19" s="22">
        <v>0</v>
      </c>
      <c r="K19" s="22">
        <f t="shared" si="23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4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5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6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7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8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9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0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1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2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3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4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5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6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>
      <c r="A20" s="16"/>
      <c r="B20" s="16"/>
      <c r="C20" s="16"/>
      <c r="D20" s="17"/>
      <c r="E20" s="177"/>
      <c r="F20" s="18" t="s">
        <v>132</v>
      </c>
      <c r="G20" s="19" t="str">
        <f t="shared" ca="1" si="46"/>
        <v>Pending</v>
      </c>
      <c r="H20" s="20">
        <v>1</v>
      </c>
      <c r="I20" s="21">
        <v>0</v>
      </c>
      <c r="J20" s="22">
        <v>0</v>
      </c>
      <c r="K20" s="22">
        <f t="shared" si="23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4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5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6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7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8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9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0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1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2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3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4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5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6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>
      <c r="A21" s="16"/>
      <c r="B21" s="16"/>
      <c r="C21" s="16"/>
      <c r="D21" s="17"/>
      <c r="E21" s="177"/>
      <c r="F21" s="18" t="s">
        <v>132</v>
      </c>
      <c r="G21" s="19" t="str">
        <f t="shared" ca="1" si="46"/>
        <v>Pending</v>
      </c>
      <c r="H21" s="20">
        <v>1</v>
      </c>
      <c r="I21" s="21">
        <v>0</v>
      </c>
      <c r="J21" s="22">
        <v>0</v>
      </c>
      <c r="K21" s="22">
        <f t="shared" si="23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4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5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6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7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8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9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0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1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2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3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4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5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6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>
      <c r="A22" s="16"/>
      <c r="B22" s="16"/>
      <c r="C22" s="16"/>
      <c r="D22" s="17"/>
      <c r="E22" s="177"/>
      <c r="F22" s="18" t="s">
        <v>132</v>
      </c>
      <c r="G22" s="19" t="str">
        <f t="shared" ca="1" si="46"/>
        <v>Pending</v>
      </c>
      <c r="H22" s="20">
        <v>1</v>
      </c>
      <c r="I22" s="21">
        <v>0</v>
      </c>
      <c r="J22" s="22">
        <v>0</v>
      </c>
      <c r="K22" s="22">
        <f t="shared" si="23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4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5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6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7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8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9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0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1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2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3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4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5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6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>
      <c r="A23" s="16"/>
      <c r="B23" s="16"/>
      <c r="C23" s="16"/>
      <c r="D23" s="17"/>
      <c r="E23" s="177"/>
      <c r="F23" s="18" t="s">
        <v>132</v>
      </c>
      <c r="G23" s="19" t="str">
        <f t="shared" ca="1" si="46"/>
        <v>Pending</v>
      </c>
      <c r="H23" s="20">
        <v>1</v>
      </c>
      <c r="I23" s="21">
        <v>0</v>
      </c>
      <c r="J23" s="22">
        <v>0</v>
      </c>
      <c r="K23" s="22">
        <f t="shared" si="23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4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5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6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7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8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9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0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1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2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3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4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5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6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>
      <c r="A24" s="16"/>
      <c r="B24" s="16"/>
      <c r="C24" s="16"/>
      <c r="D24" s="17"/>
      <c r="E24" s="177"/>
      <c r="F24" s="18" t="s">
        <v>132</v>
      </c>
      <c r="G24" s="19" t="str">
        <f t="shared" ca="1" si="46"/>
        <v>Pending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>
      <c r="A25" s="16"/>
      <c r="B25" s="16"/>
      <c r="C25" s="16"/>
      <c r="D25" s="17"/>
      <c r="E25" s="177"/>
      <c r="F25" s="18" t="s">
        <v>132</v>
      </c>
      <c r="G25" s="19" t="str">
        <f t="shared" ca="1" si="46"/>
        <v>Pending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>
      <c r="A26" s="16"/>
      <c r="B26" s="16"/>
      <c r="C26" s="16"/>
      <c r="D26" s="17"/>
      <c r="E26" s="177"/>
      <c r="F26" s="18" t="s">
        <v>132</v>
      </c>
      <c r="G26" s="19" t="str">
        <f t="shared" ca="1" si="46"/>
        <v>Pending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>
      <c r="A27" s="16"/>
      <c r="B27" s="16"/>
      <c r="C27" s="16"/>
      <c r="D27" s="17"/>
      <c r="E27" s="177"/>
      <c r="F27" s="18" t="s">
        <v>132</v>
      </c>
      <c r="G27" s="19" t="str">
        <f t="shared" ca="1" si="46"/>
        <v>Pending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>
      <c r="A28" s="16"/>
      <c r="B28" s="16"/>
      <c r="C28" s="16"/>
      <c r="D28" s="17"/>
      <c r="E28" s="177"/>
      <c r="F28" s="18" t="s">
        <v>132</v>
      </c>
      <c r="G28" s="19" t="str">
        <f t="shared" ca="1" si="46"/>
        <v>Pending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>
      <c r="A29" s="16"/>
      <c r="B29" s="16"/>
      <c r="C29" s="16"/>
      <c r="D29" s="17"/>
      <c r="E29" s="177"/>
      <c r="F29" s="18" t="s">
        <v>132</v>
      </c>
      <c r="G29" s="19" t="str">
        <f t="shared" ca="1" si="46"/>
        <v>Pending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>
      <c r="A30" s="16"/>
      <c r="B30" s="16"/>
      <c r="C30" s="16"/>
      <c r="D30" s="17"/>
      <c r="E30" s="177"/>
      <c r="F30" s="18" t="s">
        <v>132</v>
      </c>
      <c r="G30" s="19" t="str">
        <f t="shared" ca="1" si="46"/>
        <v>Pending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>
      <c r="A31" s="16"/>
      <c r="B31" s="16"/>
      <c r="C31" s="16"/>
      <c r="D31" s="17"/>
      <c r="E31" s="177"/>
      <c r="F31" s="18" t="s">
        <v>132</v>
      </c>
      <c r="G31" s="19" t="str">
        <f t="shared" ca="1" si="46"/>
        <v>Pending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>
      <c r="A32" s="16"/>
      <c r="B32" s="16"/>
      <c r="C32" s="16"/>
      <c r="D32" s="17"/>
      <c r="E32" s="177"/>
      <c r="F32" s="18" t="s">
        <v>132</v>
      </c>
      <c r="G32" s="19" t="str">
        <f t="shared" ca="1" si="46"/>
        <v>Pending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>
      <c r="A33" s="16"/>
      <c r="B33" s="16"/>
      <c r="C33" s="16"/>
      <c r="D33" s="17"/>
      <c r="E33" s="177"/>
      <c r="F33" s="18" t="s">
        <v>132</v>
      </c>
      <c r="G33" s="19" t="str">
        <f t="shared" ca="1" si="46"/>
        <v>Pending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>
      <c r="A34" s="16"/>
      <c r="B34" s="16"/>
      <c r="C34" s="16"/>
      <c r="D34" s="17"/>
      <c r="E34" s="177"/>
      <c r="F34" s="18" t="s">
        <v>132</v>
      </c>
      <c r="G34" s="19" t="str">
        <f t="shared" ca="1" si="46"/>
        <v>Pending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>
      <c r="A35" s="16"/>
      <c r="B35" s="16"/>
      <c r="C35" s="16"/>
      <c r="D35" s="17"/>
      <c r="E35" s="177"/>
      <c r="F35" s="18" t="s">
        <v>132</v>
      </c>
      <c r="G35" s="19" t="str">
        <f t="shared" ca="1" si="46"/>
        <v>Pending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>
      <c r="A36" s="16"/>
      <c r="B36" s="16"/>
      <c r="C36" s="16"/>
      <c r="D36" s="17"/>
      <c r="E36" s="177"/>
      <c r="F36" s="18" t="s">
        <v>132</v>
      </c>
      <c r="G36" s="19" t="str">
        <f t="shared" ca="1" si="46"/>
        <v>Pending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>
      <c r="A37" s="16"/>
      <c r="B37" s="16"/>
      <c r="C37" s="16"/>
      <c r="D37" s="17"/>
      <c r="E37" s="177"/>
      <c r="F37" s="18" t="s">
        <v>132</v>
      </c>
      <c r="G37" s="19" t="str">
        <f t="shared" ca="1" si="46"/>
        <v>Pending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>
      <c r="A38" s="16"/>
      <c r="B38" s="16"/>
      <c r="C38" s="16"/>
      <c r="D38" s="17"/>
      <c r="E38" s="177"/>
      <c r="F38" s="18" t="s">
        <v>132</v>
      </c>
      <c r="G38" s="19" t="str">
        <f t="shared" ca="1" si="46"/>
        <v>Pending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>
      <c r="A39" s="16"/>
      <c r="B39" s="16"/>
      <c r="C39" s="16"/>
      <c r="D39" s="17"/>
      <c r="E39" s="177"/>
      <c r="F39" s="18" t="s">
        <v>132</v>
      </c>
      <c r="G39" s="19" t="str">
        <f t="shared" ca="1" si="46"/>
        <v>Pending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>
      <c r="A40" s="16"/>
      <c r="B40" s="16"/>
      <c r="C40" s="16"/>
      <c r="D40" s="17"/>
      <c r="E40" s="177"/>
      <c r="F40" s="18" t="s">
        <v>132</v>
      </c>
      <c r="G40" s="19" t="str">
        <f t="shared" ca="1" si="46"/>
        <v>Pending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>
      <c r="A41" s="16"/>
      <c r="B41" s="16"/>
      <c r="C41" s="16"/>
      <c r="D41" s="17"/>
      <c r="E41" s="177"/>
      <c r="F41" s="18" t="s">
        <v>132</v>
      </c>
      <c r="G41" s="19" t="str">
        <f t="shared" ca="1" si="46"/>
        <v>Pending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>
      <c r="A42" s="16"/>
      <c r="B42" s="16"/>
      <c r="C42" s="16"/>
      <c r="D42" s="17"/>
      <c r="E42" s="177"/>
      <c r="F42" s="18" t="s">
        <v>132</v>
      </c>
      <c r="G42" s="19" t="str">
        <f t="shared" ca="1" si="46"/>
        <v>Pending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>
      <c r="A43" s="16"/>
      <c r="B43" s="16"/>
      <c r="C43" s="16"/>
      <c r="D43" s="17"/>
      <c r="E43" s="177"/>
      <c r="F43" s="18" t="s">
        <v>132</v>
      </c>
      <c r="G43" s="19" t="str">
        <f t="shared" ca="1" si="46"/>
        <v>Pending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>
      <c r="A44" s="16"/>
      <c r="B44" s="16"/>
      <c r="C44" s="16"/>
      <c r="D44" s="17"/>
      <c r="E44" s="177"/>
      <c r="F44" s="18" t="s">
        <v>132</v>
      </c>
      <c r="G44" s="19" t="str">
        <f t="shared" ca="1" si="46"/>
        <v>Pending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>
      <c r="A45" s="16"/>
      <c r="B45" s="16"/>
      <c r="C45" s="16"/>
      <c r="D45" s="17"/>
      <c r="E45" s="177"/>
      <c r="F45" s="18" t="s">
        <v>132</v>
      </c>
      <c r="G45" s="19" t="str">
        <f t="shared" ca="1" si="46"/>
        <v>Pending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>
      <c r="A46" s="16"/>
      <c r="B46" s="16"/>
      <c r="C46" s="16"/>
      <c r="D46" s="17"/>
      <c r="E46" s="177"/>
      <c r="F46" s="18" t="s">
        <v>132</v>
      </c>
      <c r="G46" s="19" t="str">
        <f t="shared" ca="1" si="46"/>
        <v>Pending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>
      <c r="A47" s="16"/>
      <c r="B47" s="16"/>
      <c r="C47" s="16"/>
      <c r="D47" s="17"/>
      <c r="E47" s="177"/>
      <c r="F47" s="18" t="s">
        <v>132</v>
      </c>
      <c r="G47" s="19" t="str">
        <f t="shared" ca="1" si="46"/>
        <v>Pending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>
      <c r="A48" s="16"/>
      <c r="B48" s="16"/>
      <c r="C48" s="16"/>
      <c r="D48" s="17"/>
      <c r="E48" s="177"/>
      <c r="F48" s="18" t="s">
        <v>132</v>
      </c>
      <c r="G48" s="19" t="str">
        <f t="shared" ca="1" si="46"/>
        <v>Pending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>
      <c r="A49" s="16"/>
      <c r="B49" s="16"/>
      <c r="C49" s="16"/>
      <c r="D49" s="17"/>
      <c r="E49" s="177"/>
      <c r="F49" s="18" t="s">
        <v>132</v>
      </c>
      <c r="G49" s="19" t="str">
        <f t="shared" ca="1" si="46"/>
        <v>Pending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>
      <c r="A50" s="16"/>
      <c r="B50" s="16"/>
      <c r="C50" s="16"/>
      <c r="D50" s="17"/>
      <c r="E50" s="177"/>
      <c r="F50" s="18" t="s">
        <v>132</v>
      </c>
      <c r="G50" s="19" t="str">
        <f t="shared" ca="1" si="46"/>
        <v>Pending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>
      <c r="A51" s="16"/>
      <c r="B51" s="16"/>
      <c r="C51" s="16"/>
      <c r="D51" s="17"/>
      <c r="E51" s="177"/>
      <c r="F51" s="18" t="s">
        <v>132</v>
      </c>
      <c r="G51" s="19" t="str">
        <f t="shared" ca="1" si="46"/>
        <v>Pending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>
      <c r="A52" s="16"/>
      <c r="B52" s="16"/>
      <c r="C52" s="16"/>
      <c r="D52" s="17"/>
      <c r="E52" s="177"/>
      <c r="F52" s="18" t="s">
        <v>132</v>
      </c>
      <c r="G52" s="19" t="str">
        <f t="shared" ca="1" si="46"/>
        <v>Pending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>
      <c r="A53" s="16"/>
      <c r="B53" s="16"/>
      <c r="C53" s="16"/>
      <c r="D53" s="17"/>
      <c r="E53" s="177"/>
      <c r="F53" s="18" t="s">
        <v>132</v>
      </c>
      <c r="G53" s="19" t="str">
        <f t="shared" ca="1" si="46"/>
        <v>Pending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>
      <c r="A54" s="16"/>
      <c r="B54" s="16"/>
      <c r="C54" s="16"/>
      <c r="D54" s="17"/>
      <c r="E54" s="177"/>
      <c r="F54" s="18" t="s">
        <v>132</v>
      </c>
      <c r="G54" s="19" t="str">
        <f t="shared" ca="1" si="46"/>
        <v>Pending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>
      <c r="A55" s="16"/>
      <c r="B55" s="16"/>
      <c r="C55" s="16"/>
      <c r="D55" s="17"/>
      <c r="E55" s="177"/>
      <c r="F55" s="18" t="s">
        <v>132</v>
      </c>
      <c r="G55" s="19" t="str">
        <f t="shared" ca="1" si="46"/>
        <v>Pending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>
      <c r="A56" s="16"/>
      <c r="B56" s="16"/>
      <c r="C56" s="16"/>
      <c r="D56" s="17"/>
      <c r="E56" s="177"/>
      <c r="F56" s="18" t="s">
        <v>132</v>
      </c>
      <c r="G56" s="19" t="str">
        <f t="shared" ca="1" si="46"/>
        <v>Pending</v>
      </c>
      <c r="H56" s="20">
        <v>1</v>
      </c>
      <c r="I56" s="21">
        <v>0</v>
      </c>
      <c r="J56" s="22">
        <v>0</v>
      </c>
      <c r="K56" s="22">
        <f t="shared" si="23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4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5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6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7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8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9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0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1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2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3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4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5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6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7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8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39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0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1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2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3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4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5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>
      <c r="A57" s="16"/>
      <c r="B57" s="16"/>
      <c r="C57" s="16"/>
      <c r="D57" s="17"/>
      <c r="E57" s="177"/>
      <c r="F57" s="18" t="s">
        <v>132</v>
      </c>
      <c r="G57" s="19" t="str">
        <f t="shared" ca="1" si="46"/>
        <v>Pending</v>
      </c>
      <c r="H57" s="20">
        <v>1</v>
      </c>
      <c r="I57" s="21">
        <v>0</v>
      </c>
      <c r="J57" s="22">
        <v>0</v>
      </c>
      <c r="K57" s="22">
        <f t="shared" si="23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4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5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6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7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8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9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0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1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2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3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4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5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6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7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8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39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0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1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2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3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4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5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>
      <c r="A58" s="16"/>
      <c r="B58" s="16"/>
      <c r="C58" s="16"/>
      <c r="D58" s="17"/>
      <c r="E58" s="177"/>
      <c r="F58" s="18" t="s">
        <v>132</v>
      </c>
      <c r="G58" s="19" t="str">
        <f t="shared" ca="1" si="46"/>
        <v>Pending</v>
      </c>
      <c r="H58" s="20">
        <v>1</v>
      </c>
      <c r="I58" s="21">
        <v>0</v>
      </c>
      <c r="J58" s="22">
        <v>0</v>
      </c>
      <c r="K58" s="22">
        <f t="shared" si="23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4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5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6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7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8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9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0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1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2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3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4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5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6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7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8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39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0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1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2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3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4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5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>
      <c r="A59" s="16"/>
      <c r="B59" s="16"/>
      <c r="C59" s="16"/>
      <c r="D59" s="17"/>
      <c r="E59" s="177"/>
      <c r="F59" s="18" t="s">
        <v>132</v>
      </c>
      <c r="G59" s="19" t="str">
        <f t="shared" ca="1" si="46"/>
        <v>Pending</v>
      </c>
      <c r="H59" s="20">
        <v>1</v>
      </c>
      <c r="I59" s="21">
        <v>0</v>
      </c>
      <c r="J59" s="22">
        <v>0</v>
      </c>
      <c r="K59" s="22">
        <f t="shared" si="23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4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5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6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7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8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9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0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1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2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3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4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5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6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7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8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39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0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1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2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3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4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5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>
      <c r="A60" s="16"/>
      <c r="B60" s="16"/>
      <c r="C60" s="16"/>
      <c r="D60" s="17"/>
      <c r="E60" s="177"/>
      <c r="F60" s="18" t="s">
        <v>132</v>
      </c>
      <c r="G60" s="19" t="str">
        <f t="shared" ca="1" si="46"/>
        <v>Pending</v>
      </c>
      <c r="H60" s="20">
        <v>1</v>
      </c>
      <c r="I60" s="21">
        <v>0</v>
      </c>
      <c r="J60" s="22">
        <v>0</v>
      </c>
      <c r="K60" s="22">
        <f t="shared" si="23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4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5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6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7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8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9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0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1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2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3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4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5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6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7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8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39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0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1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2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3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4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5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>
      <c r="A61" s="16"/>
      <c r="B61" s="16"/>
      <c r="C61" s="16"/>
      <c r="D61" s="17"/>
      <c r="E61" s="176"/>
      <c r="F61" s="18" t="s">
        <v>48</v>
      </c>
      <c r="G61" s="19" t="str">
        <f t="shared" ca="1" si="46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>
      <c r="A63" s="29"/>
      <c r="B63" s="29"/>
      <c r="C63" s="29"/>
      <c r="D63" s="29"/>
      <c r="E63" s="29"/>
      <c r="F63" s="29"/>
      <c r="G63" s="1"/>
      <c r="H63" s="29"/>
      <c r="I63" s="29"/>
      <c r="J63" s="188" t="s">
        <v>9</v>
      </c>
      <c r="K63" s="189"/>
      <c r="L63" s="30">
        <v>1</v>
      </c>
      <c r="M63" s="186" t="s">
        <v>9</v>
      </c>
      <c r="N63" s="190"/>
      <c r="O63" s="30">
        <f>L63+1</f>
        <v>2</v>
      </c>
      <c r="P63" s="186" t="s">
        <v>9</v>
      </c>
      <c r="Q63" s="190"/>
      <c r="R63" s="30">
        <f>O63+1</f>
        <v>3</v>
      </c>
      <c r="S63" s="186" t="s">
        <v>9</v>
      </c>
      <c r="T63" s="190"/>
      <c r="U63" s="30">
        <f>R63+1</f>
        <v>4</v>
      </c>
      <c r="V63" s="186" t="s">
        <v>9</v>
      </c>
      <c r="W63" s="190"/>
      <c r="X63" s="30">
        <f>U63+1</f>
        <v>5</v>
      </c>
      <c r="Y63" s="186" t="s">
        <v>9</v>
      </c>
      <c r="Z63" s="186"/>
      <c r="AA63" s="30">
        <f>X63+1</f>
        <v>6</v>
      </c>
      <c r="AB63" s="186" t="s">
        <v>9</v>
      </c>
      <c r="AC63" s="186"/>
      <c r="AD63" s="30">
        <f>AA63+1</f>
        <v>7</v>
      </c>
      <c r="AE63" s="186" t="s">
        <v>9</v>
      </c>
      <c r="AF63" s="186"/>
      <c r="AG63" s="30">
        <f>AD63+1</f>
        <v>8</v>
      </c>
      <c r="AH63" s="186" t="s">
        <v>9</v>
      </c>
      <c r="AI63" s="186"/>
      <c r="AJ63" s="30">
        <f>AG63+1</f>
        <v>9</v>
      </c>
      <c r="AK63" s="186" t="s">
        <v>9</v>
      </c>
      <c r="AL63" s="186"/>
      <c r="AM63" s="30">
        <f>AJ63+1</f>
        <v>10</v>
      </c>
      <c r="AN63" s="186" t="s">
        <v>9</v>
      </c>
      <c r="AO63" s="186"/>
      <c r="AP63" s="30">
        <f>AM63+1</f>
        <v>11</v>
      </c>
      <c r="AQ63" s="186" t="s">
        <v>9</v>
      </c>
      <c r="AR63" s="186"/>
      <c r="AS63" s="30">
        <f>AP63+1</f>
        <v>12</v>
      </c>
      <c r="AT63" s="186" t="s">
        <v>9</v>
      </c>
      <c r="AU63" s="186"/>
      <c r="AV63" s="30">
        <f>AS63+1</f>
        <v>13</v>
      </c>
      <c r="AW63" s="186" t="s">
        <v>9</v>
      </c>
      <c r="AX63" s="186"/>
      <c r="AY63" s="30">
        <f>AV63+1</f>
        <v>14</v>
      </c>
      <c r="AZ63" s="186" t="s">
        <v>9</v>
      </c>
      <c r="BA63" s="190"/>
      <c r="BB63" s="30" t="e">
        <f>#REF!+1</f>
        <v>#REF!</v>
      </c>
      <c r="BC63" s="186" t="s">
        <v>9</v>
      </c>
      <c r="BD63" s="190"/>
      <c r="BE63" s="30" t="e">
        <f>BB63+1</f>
        <v>#REF!</v>
      </c>
      <c r="BF63" s="186" t="s">
        <v>9</v>
      </c>
      <c r="BG63" s="190"/>
      <c r="BH63" s="30" t="e">
        <f>BE63+1</f>
        <v>#REF!</v>
      </c>
      <c r="BI63" s="186" t="s">
        <v>9</v>
      </c>
      <c r="BJ63" s="190"/>
      <c r="BK63" s="30" t="e">
        <f>BH63+1</f>
        <v>#REF!</v>
      </c>
      <c r="BL63" s="186" t="s">
        <v>9</v>
      </c>
      <c r="BM63" s="190"/>
      <c r="BN63" s="30" t="e">
        <f>BK63+1</f>
        <v>#REF!</v>
      </c>
      <c r="BO63" s="186" t="s">
        <v>9</v>
      </c>
      <c r="BP63" s="190"/>
      <c r="BQ63" s="30" t="e">
        <f>BN63+1</f>
        <v>#REF!</v>
      </c>
      <c r="BR63" s="186" t="s">
        <v>9</v>
      </c>
      <c r="BS63" s="190"/>
      <c r="BT63" s="30" t="e">
        <f>BQ63+1</f>
        <v>#REF!</v>
      </c>
      <c r="BU63" s="186" t="s">
        <v>9</v>
      </c>
      <c r="BV63" s="190"/>
      <c r="BW63" s="30" t="e">
        <f>BT63+1</f>
        <v>#REF!</v>
      </c>
      <c r="BX63" s="186" t="s">
        <v>9</v>
      </c>
      <c r="BY63" s="190"/>
      <c r="BZ63" s="30" t="e">
        <f>BW63+1</f>
        <v>#REF!</v>
      </c>
      <c r="CA63" s="186" t="s">
        <v>9</v>
      </c>
      <c r="CB63" s="190"/>
      <c r="CC63" s="30" t="e">
        <f>BZ63+1</f>
        <v>#REF!</v>
      </c>
      <c r="CD63" s="30"/>
      <c r="CE63" s="31"/>
    </row>
    <row r="64" spans="1:83" hidden="1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4">
        <v>1</v>
      </c>
      <c r="K64" s="154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4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4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41</v>
      </c>
      <c r="J67" s="155">
        <f>SUBTOTAL(109,J$4:J$62)</f>
        <v>5</v>
      </c>
      <c r="K67" s="155">
        <f>SUBTOTAL(109,K$4:K$61)</f>
        <v>36</v>
      </c>
      <c r="L67" s="39"/>
      <c r="M67" s="39">
        <f>SUBTOTAL(109,M$4:M$62)</f>
        <v>5</v>
      </c>
      <c r="N67" s="39">
        <f>SUBTOTAL(109,N$4:N$61)</f>
        <v>31</v>
      </c>
      <c r="O67" s="39"/>
      <c r="P67" s="39">
        <f>SUBTOTAL(109,P$4:P$62)</f>
        <v>4</v>
      </c>
      <c r="Q67" s="39">
        <f>SUBTOTAL(109,Q$4:Q$61)</f>
        <v>27</v>
      </c>
      <c r="R67" s="39"/>
      <c r="S67" s="39">
        <f>SUBTOTAL(109,S$4:S$62)</f>
        <v>6</v>
      </c>
      <c r="T67" s="39">
        <f>SUBTOTAL(109,T$4:T$61)</f>
        <v>21</v>
      </c>
      <c r="U67" s="39"/>
      <c r="V67" s="39">
        <f>SUBTOTAL(109,V$4:V$62)</f>
        <v>4</v>
      </c>
      <c r="W67" s="39">
        <f>SUBTOTAL(109,W$4:W$61)</f>
        <v>17</v>
      </c>
      <c r="X67" s="39"/>
      <c r="Y67" s="39">
        <f>SUBTOTAL(109,Y$4:Y$62)</f>
        <v>3</v>
      </c>
      <c r="Z67" s="39">
        <f>SUBTOTAL(109,Z$4:Z$61)</f>
        <v>14</v>
      </c>
      <c r="AA67" s="39"/>
      <c r="AB67" s="39">
        <f>SUBTOTAL(109,AB$4:AB$62)</f>
        <v>1</v>
      </c>
      <c r="AC67" s="39">
        <f>SUBTOTAL(109,AC$4:AC$61)</f>
        <v>13</v>
      </c>
      <c r="AD67" s="39"/>
      <c r="AE67" s="39">
        <f>SUBTOTAL(109,AE$4:AE$62)</f>
        <v>3</v>
      </c>
      <c r="AF67" s="39">
        <f>SUBTOTAL(109,AF$4:AF$61)</f>
        <v>10</v>
      </c>
      <c r="AG67" s="39"/>
      <c r="AH67" s="39">
        <f>SUBTOTAL(109,AH$4:AH$62)</f>
        <v>2</v>
      </c>
      <c r="AI67" s="39">
        <f>SUBTOTAL(109,AI$4:AI$61)</f>
        <v>8</v>
      </c>
      <c r="AJ67" s="39"/>
      <c r="AK67" s="39">
        <f>SUBTOTAL(109,AK$4:AK$62)</f>
        <v>1</v>
      </c>
      <c r="AL67" s="39">
        <f>SUBTOTAL(109,AL$4:AL$61)</f>
        <v>7</v>
      </c>
      <c r="AM67" s="39"/>
      <c r="AN67" s="39">
        <f>SUBTOTAL(109,AN$4:AN$62)</f>
        <v>1</v>
      </c>
      <c r="AO67" s="39">
        <f>SUBTOTAL(109,AO$4:AO$61)</f>
        <v>6</v>
      </c>
      <c r="AP67" s="39"/>
      <c r="AQ67" s="39">
        <f>SUBTOTAL(109,AQ$4:AQ$62)</f>
        <v>0</v>
      </c>
      <c r="AR67" s="39">
        <f>SUBTOTAL(109,AR$4:AR$61)</f>
        <v>6</v>
      </c>
      <c r="AS67" s="39"/>
      <c r="AT67" s="39">
        <f>SUBTOTAL(109,AT$4:AT$62)</f>
        <v>2</v>
      </c>
      <c r="AU67" s="39">
        <f>SUBTOTAL(109,AU$4:AU$61)</f>
        <v>4</v>
      </c>
      <c r="AV67" s="39"/>
      <c r="AW67" s="39">
        <f>SUBTOTAL(109,AW$4:AW$62)</f>
        <v>2</v>
      </c>
      <c r="AX67" s="39">
        <f>SUBTOTAL(109,AX$4:AX$61)</f>
        <v>2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>
      <c r="A68" s="41"/>
      <c r="B68" s="41"/>
      <c r="C68" s="41"/>
      <c r="D68" s="41"/>
      <c r="E68" s="41"/>
      <c r="F68" s="41"/>
      <c r="G68" s="41"/>
      <c r="H68" s="41"/>
      <c r="I68" s="41"/>
      <c r="J68" s="156"/>
      <c r="K68" s="157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>
      <c r="A69" s="41"/>
      <c r="B69" s="41"/>
      <c r="C69" s="41"/>
      <c r="D69" s="41"/>
      <c r="E69" s="41"/>
      <c r="F69" s="41"/>
      <c r="G69" s="41"/>
      <c r="H69" s="41"/>
      <c r="I69" s="41"/>
      <c r="J69" s="156"/>
      <c r="K69" s="157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>
      <c r="A70" s="41"/>
      <c r="B70" s="41"/>
      <c r="C70" s="41"/>
      <c r="D70" s="41"/>
      <c r="E70" s="41"/>
      <c r="F70" s="41"/>
      <c r="G70" s="41"/>
    </row>
    <row r="71" spans="1:83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E63:AF63"/>
    <mergeCell ref="AB63:AC63"/>
    <mergeCell ref="Y63:Z63"/>
    <mergeCell ref="AE1:AG1"/>
    <mergeCell ref="AB1:AD1"/>
    <mergeCell ref="Y1:AA1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3:AU63"/>
    <mergeCell ref="AW63:AX63"/>
    <mergeCell ref="AH63:AI63"/>
    <mergeCell ref="AK63:AL63"/>
    <mergeCell ref="AN63:AO63"/>
    <mergeCell ref="AQ63:AR63"/>
  </mergeCells>
  <phoneticPr fontId="2" type="noConversion"/>
  <conditionalFormatting sqref="I67">
    <cfRule type="cellIs" dxfId="50" priority="11" stopIfTrue="1" operator="lessThan">
      <formula>C67*0.75</formula>
    </cfRule>
    <cfRule type="cellIs" dxfId="49" priority="11" stopIfTrue="1" operator="between">
      <formula>C67*0.75</formula>
      <formula>#REF!</formula>
    </cfRule>
    <cfRule type="cellIs" dxfId="48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7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6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5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4" priority="14" stopIfTrue="1">
      <formula>J$1=TODAY()+DailyScrumDateModifier</formula>
    </cfRule>
    <cfRule type="expression" dxfId="43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42" priority="16" stopIfTrue="1">
      <formula>J$1=TODAY()+DailyScrumDateModifier</formula>
    </cfRule>
    <cfRule type="expression" dxfId="41" priority="16" stopIfTrue="1">
      <formula>MOD(ROW(),2)</formula>
    </cfRule>
  </conditionalFormatting>
  <conditionalFormatting sqref="CE4:CE62 H4:I61 A4:E61">
    <cfRule type="expression" dxfId="1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40" priority="19" stopIfTrue="1" operator="equal">
      <formula>"Pending"</formula>
    </cfRule>
    <cfRule type="cellIs" dxfId="39" priority="19" stopIfTrue="1" operator="equal">
      <formula>"In Progress"</formula>
    </cfRule>
    <cfRule type="cellIs" dxfId="38" priority="19" stopIfTrue="1" operator="equal">
      <formula>"Complete"</formula>
    </cfRule>
  </conditionalFormatting>
  <conditionalFormatting sqref="J1:CC1">
    <cfRule type="expression" dxfId="37" priority="6" stopIfTrue="1">
      <formula>J$1=TODAY()+DailyScrumDateModifier</formula>
    </cfRule>
    <cfRule type="expression" dxfId="36" priority="6" stopIfTrue="1">
      <formula>J$1=TODAY()</formula>
    </cfRule>
  </conditionalFormatting>
  <conditionalFormatting sqref="J68:K69 M68:N69">
    <cfRule type="expression" dxfId="35" priority="8" stopIfTrue="1">
      <formula>"I1=TODAY()"</formula>
    </cfRule>
  </conditionalFormatting>
  <conditionalFormatting sqref="G63">
    <cfRule type="cellIs" dxfId="34" priority="9" stopIfTrue="1" operator="equal">
      <formula>"Complete"</formula>
    </cfRule>
    <cfRule type="cellIs" dxfId="33" priority="9" stopIfTrue="1" operator="equal">
      <formula>"In Progress"</formula>
    </cfRule>
  </conditionalFormatting>
  <conditionalFormatting sqref="G4:G61">
    <cfRule type="cellIs" dxfId="4" priority="22" stopIfTrue="1" operator="equal">
      <formula>"Complete"</formula>
    </cfRule>
    <cfRule type="cellIs" dxfId="3" priority="22" stopIfTrue="1" operator="equal">
      <formula>"In Progress"</formula>
    </cfRule>
    <cfRule type="cellIs" dxfId="2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legacyDrawing r:id="rId2"/>
  <controls>
    <control shapeId="6274" r:id="rId3" name="BtnInsertNewLineAtEnd"/>
    <control shapeId="6275" r:id="rId4" name="BtnInsertNewLin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H51"/>
  <sheetViews>
    <sheetView topLeftCell="A22" workbookViewId="0">
      <selection activeCell="H43" sqref="H43"/>
    </sheetView>
  </sheetViews>
  <sheetFormatPr defaultRowHeight="12.75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>
      <c r="A1" s="148"/>
    </row>
    <row r="19" spans="1:18">
      <c r="A19" s="159" t="str">
        <f>IF(SkipWeekends, "Working Day", "Calendar Day")</f>
        <v>Calendar Day</v>
      </c>
      <c r="B19" s="160"/>
      <c r="C19" s="161"/>
      <c r="D19" s="162"/>
      <c r="E19" s="161">
        <v>1</v>
      </c>
      <c r="F19" s="161">
        <v>2</v>
      </c>
      <c r="G19" s="161">
        <v>3</v>
      </c>
      <c r="H19" s="161">
        <v>4</v>
      </c>
      <c r="I19" s="161">
        <v>5</v>
      </c>
      <c r="J19" s="161">
        <v>6</v>
      </c>
      <c r="K19" s="161">
        <v>7</v>
      </c>
      <c r="L19" s="161">
        <v>8</v>
      </c>
      <c r="M19" s="161">
        <v>9</v>
      </c>
      <c r="N19" s="161">
        <v>10</v>
      </c>
      <c r="O19" s="161">
        <v>11</v>
      </c>
      <c r="P19" s="161">
        <v>12</v>
      </c>
      <c r="Q19" s="161">
        <v>13</v>
      </c>
      <c r="R19" s="161">
        <v>14</v>
      </c>
    </row>
    <row r="20" spans="1:18">
      <c r="A20" s="159" t="s">
        <v>21</v>
      </c>
      <c r="B20" s="160"/>
      <c r="C20" s="161"/>
      <c r="D20" s="162"/>
      <c r="E20" s="163">
        <f t="shared" ref="E20:R20" ca="1" si="0">INDEX(SprintDates,1,(E19-1)*BurndownColumns+1)</f>
        <v>42241</v>
      </c>
      <c r="F20" s="163">
        <f t="shared" ca="1" si="0"/>
        <v>42242</v>
      </c>
      <c r="G20" s="163">
        <f t="shared" ca="1" si="0"/>
        <v>42243</v>
      </c>
      <c r="H20" s="163">
        <f t="shared" ca="1" si="0"/>
        <v>42244</v>
      </c>
      <c r="I20" s="163">
        <f t="shared" ca="1" si="0"/>
        <v>42245</v>
      </c>
      <c r="J20" s="163">
        <f t="shared" ca="1" si="0"/>
        <v>42246</v>
      </c>
      <c r="K20" s="163">
        <f t="shared" ca="1" si="0"/>
        <v>42247</v>
      </c>
      <c r="L20" s="163">
        <f t="shared" ca="1" si="0"/>
        <v>42248</v>
      </c>
      <c r="M20" s="163">
        <f t="shared" ca="1" si="0"/>
        <v>42249</v>
      </c>
      <c r="N20" s="163">
        <f t="shared" ca="1" si="0"/>
        <v>42250</v>
      </c>
      <c r="O20" s="163">
        <f t="shared" ca="1" si="0"/>
        <v>42251</v>
      </c>
      <c r="P20" s="163">
        <f t="shared" ca="1" si="0"/>
        <v>42252</v>
      </c>
      <c r="Q20" s="163">
        <f t="shared" ca="1" si="0"/>
        <v>42253</v>
      </c>
      <c r="R20" s="163">
        <f t="shared" ca="1" si="0"/>
        <v>42254</v>
      </c>
    </row>
    <row r="21" spans="1:18">
      <c r="A21" s="159"/>
      <c r="B21" s="160"/>
      <c r="C21" s="161"/>
      <c r="D21" s="162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</row>
    <row r="22" spans="1:18">
      <c r="A22" s="159" t="s">
        <v>8</v>
      </c>
      <c r="B22" s="161"/>
      <c r="C22" s="164"/>
      <c r="D22" s="165"/>
      <c r="E22" s="161">
        <f t="shared" ref="E22:R22" ca="1" si="1">IF(E20&gt;TODAY(), #N/A, SUM(INDEX(Burndown,,(E19-1)*BurndownColumns+HoursLeftColumn)))</f>
        <v>36</v>
      </c>
      <c r="F22" s="161">
        <f t="shared" ca="1" si="1"/>
        <v>31</v>
      </c>
      <c r="G22" s="161">
        <f t="shared" ca="1" si="1"/>
        <v>27</v>
      </c>
      <c r="H22" s="161">
        <f t="shared" ca="1" si="1"/>
        <v>21</v>
      </c>
      <c r="I22" s="161">
        <f t="shared" ca="1" si="1"/>
        <v>17</v>
      </c>
      <c r="J22" s="161">
        <f t="shared" ca="1" si="1"/>
        <v>14</v>
      </c>
      <c r="K22" s="161" t="e">
        <f t="shared" ca="1" si="1"/>
        <v>#N/A</v>
      </c>
      <c r="L22" s="161" t="e">
        <f t="shared" ca="1" si="1"/>
        <v>#N/A</v>
      </c>
      <c r="M22" s="161" t="e">
        <f t="shared" ca="1" si="1"/>
        <v>#N/A</v>
      </c>
      <c r="N22" s="161" t="e">
        <f t="shared" ca="1" si="1"/>
        <v>#N/A</v>
      </c>
      <c r="O22" s="161" t="e">
        <f t="shared" ca="1" si="1"/>
        <v>#N/A</v>
      </c>
      <c r="P22" s="161" t="e">
        <f t="shared" ca="1" si="1"/>
        <v>#N/A</v>
      </c>
      <c r="Q22" s="161" t="e">
        <f t="shared" ca="1" si="1"/>
        <v>#N/A</v>
      </c>
      <c r="R22" s="161" t="e">
        <f t="shared" ca="1" si="1"/>
        <v>#N/A</v>
      </c>
    </row>
    <row r="23" spans="1:18">
      <c r="A23" s="166" t="s">
        <v>20</v>
      </c>
      <c r="B23" s="164"/>
      <c r="C23" s="164"/>
      <c r="D23" s="165"/>
      <c r="E23" s="162">
        <f t="shared" ref="E23:R23" ca="1" si="2">IF(E20&gt;TODAY(), #N/A, SUM(INDEX(Burndown,,(E19-1)*BurndownColumns+HoursSpentColumn)))</f>
        <v>5</v>
      </c>
      <c r="F23" s="162">
        <f t="shared" ca="1" si="2"/>
        <v>5</v>
      </c>
      <c r="G23" s="162">
        <f t="shared" ca="1" si="2"/>
        <v>4</v>
      </c>
      <c r="H23" s="162">
        <f t="shared" ca="1" si="2"/>
        <v>6</v>
      </c>
      <c r="I23" s="162">
        <f t="shared" ca="1" si="2"/>
        <v>4</v>
      </c>
      <c r="J23" s="162">
        <f t="shared" ca="1" si="2"/>
        <v>3</v>
      </c>
      <c r="K23" s="162" t="e">
        <f t="shared" ca="1" si="2"/>
        <v>#N/A</v>
      </c>
      <c r="L23" s="162" t="e">
        <f t="shared" ca="1" si="2"/>
        <v>#N/A</v>
      </c>
      <c r="M23" s="162" t="e">
        <f t="shared" ca="1" si="2"/>
        <v>#N/A</v>
      </c>
      <c r="N23" s="162" t="e">
        <f t="shared" ca="1" si="2"/>
        <v>#N/A</v>
      </c>
      <c r="O23" s="162" t="e">
        <f t="shared" ca="1" si="2"/>
        <v>#N/A</v>
      </c>
      <c r="P23" s="162" t="e">
        <f t="shared" ca="1" si="2"/>
        <v>#N/A</v>
      </c>
      <c r="Q23" s="162" t="e">
        <f t="shared" ca="1" si="2"/>
        <v>#N/A</v>
      </c>
      <c r="R23" s="162" t="e">
        <f t="shared" ca="1" si="2"/>
        <v>#N/A</v>
      </c>
    </row>
    <row r="24" spans="1:18">
      <c r="A24" s="166" t="s">
        <v>3</v>
      </c>
      <c r="B24" s="164"/>
      <c r="C24" s="164"/>
      <c r="D24" s="165"/>
      <c r="E24" s="162">
        <f ca="1">IF(E20&gt;TODAY(), #N/A, SUM($E23:E23))</f>
        <v>5</v>
      </c>
      <c r="F24" s="162">
        <f ca="1">IF(F20&gt;TODAY(), #N/A, SUM($E23:F23))</f>
        <v>10</v>
      </c>
      <c r="G24" s="162">
        <f ca="1">IF(G20&gt;TODAY(), #N/A, SUM($E23:G23))</f>
        <v>14</v>
      </c>
      <c r="H24" s="162">
        <f ca="1">IF(H20&gt;TODAY(), #N/A, SUM($E23:H23))</f>
        <v>20</v>
      </c>
      <c r="I24" s="162">
        <f ca="1">IF(I20&gt;TODAY(), #N/A, SUM($E23:I23))</f>
        <v>24</v>
      </c>
      <c r="J24" s="162">
        <f ca="1">IF(J20&gt;TODAY(), #N/A, SUM($E23:J23))</f>
        <v>27</v>
      </c>
      <c r="K24" s="162" t="e">
        <f ca="1">IF(K20&gt;TODAY(), #N/A, SUM($E23:K23))</f>
        <v>#N/A</v>
      </c>
      <c r="L24" s="162" t="e">
        <f ca="1">IF(L20&gt;TODAY(), #N/A, SUM($E23:L23))</f>
        <v>#N/A</v>
      </c>
      <c r="M24" s="162" t="e">
        <f ca="1">IF(M20&gt;TODAY(), #N/A, SUM($E23:M23))</f>
        <v>#N/A</v>
      </c>
      <c r="N24" s="162" t="e">
        <f ca="1">IF(N20&gt;TODAY(), #N/A, SUM($E23:N23))</f>
        <v>#N/A</v>
      </c>
      <c r="O24" s="162" t="e">
        <f ca="1">IF(O20&gt;TODAY(), #N/A, SUM($E23:O23))</f>
        <v>#N/A</v>
      </c>
      <c r="P24" s="162" t="e">
        <f ca="1">IF(P20&gt;TODAY(), #N/A, SUM($E23:P23))</f>
        <v>#N/A</v>
      </c>
      <c r="Q24" s="162" t="e">
        <f ca="1">IF(Q20&gt;TODAY(), #N/A, SUM($E23:Q23))</f>
        <v>#N/A</v>
      </c>
      <c r="R24" s="162" t="e">
        <f ca="1">IF(R20&gt;TODAY(), #N/A, SUM($E23:R23))</f>
        <v>#N/A</v>
      </c>
    </row>
    <row r="25" spans="1:18">
      <c r="A25" s="166" t="s">
        <v>22</v>
      </c>
      <c r="B25" s="164"/>
      <c r="C25" s="164"/>
      <c r="D25" s="165"/>
      <c r="E25" s="162">
        <f t="shared" ref="E25:R25" ca="1" si="3">IF(E20&gt;TODAY(), #N/A, E22+E24)</f>
        <v>41</v>
      </c>
      <c r="F25" s="162">
        <f t="shared" ca="1" si="3"/>
        <v>41</v>
      </c>
      <c r="G25" s="162">
        <f t="shared" ca="1" si="3"/>
        <v>41</v>
      </c>
      <c r="H25" s="162">
        <f t="shared" ca="1" si="3"/>
        <v>41</v>
      </c>
      <c r="I25" s="162">
        <f t="shared" ca="1" si="3"/>
        <v>41</v>
      </c>
      <c r="J25" s="162">
        <f t="shared" ca="1" si="3"/>
        <v>41</v>
      </c>
      <c r="K25" s="162" t="e">
        <f t="shared" ca="1" si="3"/>
        <v>#N/A</v>
      </c>
      <c r="L25" s="162" t="e">
        <f t="shared" ca="1" si="3"/>
        <v>#N/A</v>
      </c>
      <c r="M25" s="162" t="e">
        <f t="shared" ca="1" si="3"/>
        <v>#N/A</v>
      </c>
      <c r="N25" s="162" t="e">
        <f t="shared" ca="1" si="3"/>
        <v>#N/A</v>
      </c>
      <c r="O25" s="162" t="e">
        <f t="shared" ca="1" si="3"/>
        <v>#N/A</v>
      </c>
      <c r="P25" s="162" t="e">
        <f t="shared" ca="1" si="3"/>
        <v>#N/A</v>
      </c>
      <c r="Q25" s="162" t="e">
        <f t="shared" ca="1" si="3"/>
        <v>#N/A</v>
      </c>
      <c r="R25" s="162" t="e">
        <f t="shared" ca="1" si="3"/>
        <v>#N/A</v>
      </c>
    </row>
    <row r="26" spans="1:18">
      <c r="A26" s="166"/>
      <c r="B26" s="164"/>
      <c r="C26" s="164"/>
      <c r="D26" s="165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</row>
    <row r="27" spans="1:18">
      <c r="A27" s="159" t="s">
        <v>4</v>
      </c>
      <c r="B27" s="164"/>
      <c r="C27" s="161"/>
      <c r="D27" s="165"/>
      <c r="E27" s="167">
        <f t="shared" ref="E27:R27" ca="1" si="4">IF(E20&gt;TODAY(), #N/A, E24/E19)</f>
        <v>5</v>
      </c>
      <c r="F27" s="167">
        <f t="shared" ca="1" si="4"/>
        <v>5</v>
      </c>
      <c r="G27" s="167">
        <f t="shared" ca="1" si="4"/>
        <v>4.666666666666667</v>
      </c>
      <c r="H27" s="167">
        <f t="shared" ca="1" si="4"/>
        <v>5</v>
      </c>
      <c r="I27" s="167">
        <f t="shared" ca="1" si="4"/>
        <v>4.8</v>
      </c>
      <c r="J27" s="167">
        <f t="shared" ca="1" si="4"/>
        <v>4.5</v>
      </c>
      <c r="K27" s="167" t="e">
        <f t="shared" ca="1" si="4"/>
        <v>#N/A</v>
      </c>
      <c r="L27" s="167" t="e">
        <f t="shared" ca="1" si="4"/>
        <v>#N/A</v>
      </c>
      <c r="M27" s="167" t="e">
        <f t="shared" ca="1" si="4"/>
        <v>#N/A</v>
      </c>
      <c r="N27" s="167" t="e">
        <f t="shared" ca="1" si="4"/>
        <v>#N/A</v>
      </c>
      <c r="O27" s="167" t="e">
        <f t="shared" ca="1" si="4"/>
        <v>#N/A</v>
      </c>
      <c r="P27" s="167" t="e">
        <f t="shared" ca="1" si="4"/>
        <v>#N/A</v>
      </c>
      <c r="Q27" s="167" t="e">
        <f t="shared" ca="1" si="4"/>
        <v>#N/A</v>
      </c>
      <c r="R27" s="167" t="e">
        <f t="shared" ca="1" si="4"/>
        <v>#N/A</v>
      </c>
    </row>
    <row r="28" spans="1:18">
      <c r="A28" s="166" t="s">
        <v>5</v>
      </c>
      <c r="B28" s="164"/>
      <c r="C28" s="164"/>
      <c r="D28" s="165"/>
      <c r="E28" s="168">
        <f t="shared" ref="E28:R28" ca="1" si="5">IF(E20&gt;TODAY(), #N/A, IF(E27=0, SprintStart, E20 + (E22/E27)))</f>
        <v>42248.2</v>
      </c>
      <c r="F28" s="168">
        <f t="shared" ca="1" si="5"/>
        <v>42248.2</v>
      </c>
      <c r="G28" s="168">
        <f t="shared" ca="1" si="5"/>
        <v>42248.785714285717</v>
      </c>
      <c r="H28" s="168">
        <f t="shared" ca="1" si="5"/>
        <v>42248.2</v>
      </c>
      <c r="I28" s="168">
        <f t="shared" ca="1" si="5"/>
        <v>42248.541666666664</v>
      </c>
      <c r="J28" s="168">
        <f t="shared" ca="1" si="5"/>
        <v>42249.111111111109</v>
      </c>
      <c r="K28" s="168" t="e">
        <f t="shared" ca="1" si="5"/>
        <v>#N/A</v>
      </c>
      <c r="L28" s="168" t="e">
        <f t="shared" ca="1" si="5"/>
        <v>#N/A</v>
      </c>
      <c r="M28" s="168" t="e">
        <f t="shared" ca="1" si="5"/>
        <v>#N/A</v>
      </c>
      <c r="N28" s="168" t="e">
        <f t="shared" ca="1" si="5"/>
        <v>#N/A</v>
      </c>
      <c r="O28" s="168" t="e">
        <f t="shared" ca="1" si="5"/>
        <v>#N/A</v>
      </c>
      <c r="P28" s="168" t="e">
        <f t="shared" ca="1" si="5"/>
        <v>#N/A</v>
      </c>
      <c r="Q28" s="168" t="e">
        <f t="shared" ca="1" si="5"/>
        <v>#N/A</v>
      </c>
      <c r="R28" s="168" t="e">
        <f t="shared" ca="1" si="5"/>
        <v>#N/A</v>
      </c>
    </row>
    <row r="29" spans="1:18">
      <c r="A29" s="166" t="s">
        <v>31</v>
      </c>
      <c r="B29" s="164"/>
      <c r="C29" s="164"/>
      <c r="D29" s="165"/>
      <c r="E29" s="168">
        <f t="shared" ref="E29:R29" ca="1" si="6">IF(E$20&gt;TODAY(), #N/A, IF(E$33&gt;0, SprintStart+((E$25*E$19)/E$33)-1, SprintStart))</f>
        <v>42241</v>
      </c>
      <c r="F29" s="168">
        <f t="shared" ca="1" si="6"/>
        <v>42241</v>
      </c>
      <c r="G29" s="168">
        <f t="shared" ca="1" si="6"/>
        <v>42241</v>
      </c>
      <c r="H29" s="168">
        <f t="shared" ca="1" si="6"/>
        <v>42241</v>
      </c>
      <c r="I29" s="168">
        <f t="shared" ca="1" si="6"/>
        <v>42241</v>
      </c>
      <c r="J29" s="168">
        <f t="shared" ca="1" si="6"/>
        <v>42264.6</v>
      </c>
      <c r="K29" s="168" t="e">
        <f t="shared" ca="1" si="6"/>
        <v>#N/A</v>
      </c>
      <c r="L29" s="168" t="e">
        <f t="shared" ca="1" si="6"/>
        <v>#N/A</v>
      </c>
      <c r="M29" s="168" t="e">
        <f t="shared" ca="1" si="6"/>
        <v>#N/A</v>
      </c>
      <c r="N29" s="168" t="e">
        <f t="shared" ca="1" si="6"/>
        <v>#N/A</v>
      </c>
      <c r="O29" s="168" t="e">
        <f t="shared" ca="1" si="6"/>
        <v>#N/A</v>
      </c>
      <c r="P29" s="168" t="e">
        <f t="shared" ca="1" si="6"/>
        <v>#N/A</v>
      </c>
      <c r="Q29" s="168" t="e">
        <f t="shared" ca="1" si="6"/>
        <v>#N/A</v>
      </c>
      <c r="R29" s="168" t="e">
        <f t="shared" ca="1" si="6"/>
        <v>#N/A</v>
      </c>
    </row>
    <row r="30" spans="1:18">
      <c r="A30" s="166"/>
      <c r="B30" s="164"/>
      <c r="C30" s="164"/>
      <c r="D30" s="165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</row>
    <row r="31" spans="1:18">
      <c r="A31" s="166" t="s">
        <v>27</v>
      </c>
      <c r="B31" s="164"/>
      <c r="C31" s="164"/>
      <c r="D31" s="165"/>
      <c r="E31" s="164">
        <f t="shared" ref="E31:R31" ca="1" si="7">IF(E$20&gt;TODAY(), #N/A, SUMIF(INDEX(Burndown,,(E$19-1)*BurndownColumns+StatusColumn), "=Pending",INDEX(Burndown,,(E$19-1)*BurndownColumns+HoursLeftColumn)))</f>
        <v>0</v>
      </c>
      <c r="F31" s="164">
        <f t="shared" ca="1" si="7"/>
        <v>0</v>
      </c>
      <c r="G31" s="164">
        <f t="shared" ca="1" si="7"/>
        <v>0</v>
      </c>
      <c r="H31" s="164">
        <f t="shared" ca="1" si="7"/>
        <v>0</v>
      </c>
      <c r="I31" s="164">
        <f t="shared" ca="1" si="7"/>
        <v>0</v>
      </c>
      <c r="J31" s="164">
        <f t="shared" ca="1" si="7"/>
        <v>0</v>
      </c>
      <c r="K31" s="164" t="e">
        <f t="shared" ca="1" si="7"/>
        <v>#N/A</v>
      </c>
      <c r="L31" s="164" t="e">
        <f t="shared" ca="1" si="7"/>
        <v>#N/A</v>
      </c>
      <c r="M31" s="164" t="e">
        <f t="shared" ca="1" si="7"/>
        <v>#N/A</v>
      </c>
      <c r="N31" s="164" t="e">
        <f t="shared" ca="1" si="7"/>
        <v>#N/A</v>
      </c>
      <c r="O31" s="164" t="e">
        <f t="shared" ca="1" si="7"/>
        <v>#N/A</v>
      </c>
      <c r="P31" s="164" t="e">
        <f t="shared" ca="1" si="7"/>
        <v>#N/A</v>
      </c>
      <c r="Q31" s="164" t="e">
        <f t="shared" ca="1" si="7"/>
        <v>#N/A</v>
      </c>
      <c r="R31" s="164" t="e">
        <f t="shared" ca="1" si="7"/>
        <v>#N/A</v>
      </c>
    </row>
    <row r="32" spans="1:18">
      <c r="A32" s="166" t="s">
        <v>28</v>
      </c>
      <c r="B32" s="164"/>
      <c r="C32" s="164"/>
      <c r="D32" s="165"/>
      <c r="E32" s="169">
        <f t="shared" ref="E32:R32" ca="1" si="8">E$22-E$31+E$24-E$33</f>
        <v>41</v>
      </c>
      <c r="F32" s="169">
        <f t="shared" ca="1" si="8"/>
        <v>41</v>
      </c>
      <c r="G32" s="169">
        <f t="shared" ca="1" si="8"/>
        <v>41</v>
      </c>
      <c r="H32" s="169">
        <f t="shared" ca="1" si="8"/>
        <v>41</v>
      </c>
      <c r="I32" s="169">
        <f t="shared" ca="1" si="8"/>
        <v>41</v>
      </c>
      <c r="J32" s="169">
        <f t="shared" ca="1" si="8"/>
        <v>31</v>
      </c>
      <c r="K32" s="169" t="e">
        <f t="shared" ca="1" si="8"/>
        <v>#N/A</v>
      </c>
      <c r="L32" s="169" t="e">
        <f t="shared" ca="1" si="8"/>
        <v>#N/A</v>
      </c>
      <c r="M32" s="169" t="e">
        <f t="shared" ca="1" si="8"/>
        <v>#N/A</v>
      </c>
      <c r="N32" s="169" t="e">
        <f t="shared" ca="1" si="8"/>
        <v>#N/A</v>
      </c>
      <c r="O32" s="169" t="e">
        <f t="shared" ca="1" si="8"/>
        <v>#N/A</v>
      </c>
      <c r="P32" s="169" t="e">
        <f t="shared" ca="1" si="8"/>
        <v>#N/A</v>
      </c>
      <c r="Q32" s="169" t="e">
        <f t="shared" ca="1" si="8"/>
        <v>#N/A</v>
      </c>
      <c r="R32" s="169" t="e">
        <f t="shared" ca="1" si="8"/>
        <v>#N/A</v>
      </c>
    </row>
    <row r="33" spans="1:34">
      <c r="A33" s="166" t="s">
        <v>29</v>
      </c>
      <c r="B33" s="164"/>
      <c r="C33" s="164"/>
      <c r="D33" s="165"/>
      <c r="E33" s="164">
        <f t="shared" ref="E33:R33" ca="1" si="9">IF(E$20&gt;TODAY(), #N/A, SUMIF(INDEX(Burndown,,(E$19-1)*BurndownColumns+StatusColumn), "=Complete",TotalEffort))</f>
        <v>0</v>
      </c>
      <c r="F33" s="164">
        <f t="shared" ca="1" si="9"/>
        <v>0</v>
      </c>
      <c r="G33" s="164">
        <f t="shared" ca="1" si="9"/>
        <v>0</v>
      </c>
      <c r="H33" s="164">
        <f t="shared" ca="1" si="9"/>
        <v>0</v>
      </c>
      <c r="I33" s="164">
        <f t="shared" ca="1" si="9"/>
        <v>0</v>
      </c>
      <c r="J33" s="164">
        <f t="shared" ca="1" si="9"/>
        <v>10</v>
      </c>
      <c r="K33" s="164" t="e">
        <f t="shared" ca="1" si="9"/>
        <v>#N/A</v>
      </c>
      <c r="L33" s="164" t="e">
        <f t="shared" ca="1" si="9"/>
        <v>#N/A</v>
      </c>
      <c r="M33" s="164" t="e">
        <f t="shared" ca="1" si="9"/>
        <v>#N/A</v>
      </c>
      <c r="N33" s="164" t="e">
        <f t="shared" ca="1" si="9"/>
        <v>#N/A</v>
      </c>
      <c r="O33" s="164" t="e">
        <f t="shared" ca="1" si="9"/>
        <v>#N/A</v>
      </c>
      <c r="P33" s="164" t="e">
        <f t="shared" ca="1" si="9"/>
        <v>#N/A</v>
      </c>
      <c r="Q33" s="164" t="e">
        <f t="shared" ca="1" si="9"/>
        <v>#N/A</v>
      </c>
      <c r="R33" s="164" t="e">
        <f t="shared" ca="1" si="9"/>
        <v>#N/A</v>
      </c>
    </row>
    <row r="34" spans="1:34">
      <c r="A34" s="166"/>
      <c r="B34" s="164"/>
      <c r="C34" s="164"/>
      <c r="D34" s="165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</row>
    <row r="35" spans="1:34">
      <c r="A35" s="166" t="s">
        <v>10</v>
      </c>
      <c r="B35" s="164"/>
      <c r="C35" s="164"/>
      <c r="D35" s="165"/>
      <c r="E35" s="164">
        <f t="shared" ref="E35:R35" ca="1" si="10">IF(E20&gt;TODAY(), #N/A, COUNTIF(INDEX(Burndown,,(E19-1)*BurndownColumns+StatusColumn), "=Pending"))</f>
        <v>54</v>
      </c>
      <c r="F35" s="164">
        <f t="shared" ca="1" si="10"/>
        <v>54</v>
      </c>
      <c r="G35" s="164">
        <f t="shared" ca="1" si="10"/>
        <v>54</v>
      </c>
      <c r="H35" s="164">
        <f t="shared" ca="1" si="10"/>
        <v>54</v>
      </c>
      <c r="I35" s="164">
        <f t="shared" ca="1" si="10"/>
        <v>54</v>
      </c>
      <c r="J35" s="164">
        <f t="shared" ca="1" si="10"/>
        <v>54</v>
      </c>
      <c r="K35" s="164" t="e">
        <f t="shared" ca="1" si="10"/>
        <v>#N/A</v>
      </c>
      <c r="L35" s="164" t="e">
        <f t="shared" ca="1" si="10"/>
        <v>#N/A</v>
      </c>
      <c r="M35" s="164" t="e">
        <f t="shared" ca="1" si="10"/>
        <v>#N/A</v>
      </c>
      <c r="N35" s="164" t="e">
        <f t="shared" ca="1" si="10"/>
        <v>#N/A</v>
      </c>
      <c r="O35" s="164" t="e">
        <f t="shared" ca="1" si="10"/>
        <v>#N/A</v>
      </c>
      <c r="P35" s="164" t="e">
        <f t="shared" ca="1" si="10"/>
        <v>#N/A</v>
      </c>
      <c r="Q35" s="164" t="e">
        <f t="shared" ca="1" si="10"/>
        <v>#N/A</v>
      </c>
      <c r="R35" s="164" t="e">
        <f t="shared" ca="1" si="10"/>
        <v>#N/A</v>
      </c>
    </row>
    <row r="36" spans="1:34">
      <c r="A36" s="166" t="s">
        <v>6</v>
      </c>
      <c r="B36" s="164"/>
      <c r="C36" s="164"/>
      <c r="D36" s="165"/>
      <c r="E36" s="164">
        <f t="shared" ref="E36:R36" ca="1" si="11">IF(E20&gt;TODAY(), #N/A, COUNTIF(INDEX(Burndown,,(E19-1)*BurndownColumns+StatusColumn), "=In Progress"))</f>
        <v>4</v>
      </c>
      <c r="F36" s="164">
        <f t="shared" ca="1" si="11"/>
        <v>4</v>
      </c>
      <c r="G36" s="164">
        <f t="shared" ca="1" si="11"/>
        <v>4</v>
      </c>
      <c r="H36" s="164">
        <f t="shared" ca="1" si="11"/>
        <v>4</v>
      </c>
      <c r="I36" s="164">
        <f t="shared" ca="1" si="11"/>
        <v>4</v>
      </c>
      <c r="J36" s="164">
        <f t="shared" ca="1" si="11"/>
        <v>3</v>
      </c>
      <c r="K36" s="164" t="e">
        <f t="shared" ca="1" si="11"/>
        <v>#N/A</v>
      </c>
      <c r="L36" s="164" t="e">
        <f t="shared" ca="1" si="11"/>
        <v>#N/A</v>
      </c>
      <c r="M36" s="164" t="e">
        <f t="shared" ca="1" si="11"/>
        <v>#N/A</v>
      </c>
      <c r="N36" s="164" t="e">
        <f t="shared" ca="1" si="11"/>
        <v>#N/A</v>
      </c>
      <c r="O36" s="164" t="e">
        <f t="shared" ca="1" si="11"/>
        <v>#N/A</v>
      </c>
      <c r="P36" s="164" t="e">
        <f t="shared" ca="1" si="11"/>
        <v>#N/A</v>
      </c>
      <c r="Q36" s="164" t="e">
        <f t="shared" ca="1" si="11"/>
        <v>#N/A</v>
      </c>
      <c r="R36" s="164" t="e">
        <f t="shared" ca="1" si="11"/>
        <v>#N/A</v>
      </c>
    </row>
    <row r="37" spans="1:34">
      <c r="A37" s="166" t="s">
        <v>7</v>
      </c>
      <c r="B37" s="164"/>
      <c r="C37" s="164"/>
      <c r="D37" s="165"/>
      <c r="E37" s="164">
        <f t="shared" ref="E37:R37" ca="1" si="12">IF(E20&gt;TODAY(), #N/A, COUNTIF(INDEX(Burndown,,(E19-1)*BurndownColumns+StatusColumn), "=Complete"))</f>
        <v>0</v>
      </c>
      <c r="F37" s="164">
        <f t="shared" ca="1" si="12"/>
        <v>0</v>
      </c>
      <c r="G37" s="164">
        <f t="shared" ca="1" si="12"/>
        <v>0</v>
      </c>
      <c r="H37" s="164">
        <f t="shared" ca="1" si="12"/>
        <v>0</v>
      </c>
      <c r="I37" s="164">
        <f t="shared" ca="1" si="12"/>
        <v>0</v>
      </c>
      <c r="J37" s="164">
        <f t="shared" ca="1" si="12"/>
        <v>1</v>
      </c>
      <c r="K37" s="164" t="e">
        <f t="shared" ca="1" si="12"/>
        <v>#N/A</v>
      </c>
      <c r="L37" s="164" t="e">
        <f t="shared" ca="1" si="12"/>
        <v>#N/A</v>
      </c>
      <c r="M37" s="164" t="e">
        <f t="shared" ca="1" si="12"/>
        <v>#N/A</v>
      </c>
      <c r="N37" s="164" t="e">
        <f t="shared" ca="1" si="12"/>
        <v>#N/A</v>
      </c>
      <c r="O37" s="164" t="e">
        <f t="shared" ca="1" si="12"/>
        <v>#N/A</v>
      </c>
      <c r="P37" s="164" t="e">
        <f t="shared" ca="1" si="12"/>
        <v>#N/A</v>
      </c>
      <c r="Q37" s="164" t="e">
        <f t="shared" ca="1" si="12"/>
        <v>#N/A</v>
      </c>
      <c r="R37" s="164" t="e">
        <f t="shared" ca="1" si="12"/>
        <v>#N/A</v>
      </c>
    </row>
    <row r="38" spans="1:34">
      <c r="A38" s="149"/>
      <c r="B38" s="149"/>
      <c r="C38" s="149"/>
      <c r="D38" s="149"/>
      <c r="E38" s="149"/>
      <c r="F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</row>
    <row r="39" spans="1:34">
      <c r="A39" s="166" t="s">
        <v>25</v>
      </c>
      <c r="B39" s="164"/>
      <c r="C39" s="164"/>
      <c r="D39" s="164"/>
      <c r="E39" s="161"/>
      <c r="F39" s="164"/>
      <c r="G39" s="166" t="s">
        <v>24</v>
      </c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</row>
    <row r="40" spans="1:34" ht="13.5" customHeight="1">
      <c r="A40" s="166"/>
      <c r="B40" s="164" t="s">
        <v>26</v>
      </c>
      <c r="C40" s="164"/>
      <c r="D40" s="164"/>
      <c r="E40" s="164">
        <v>0</v>
      </c>
      <c r="F40" s="164"/>
      <c r="G40" s="164" t="s">
        <v>87</v>
      </c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</row>
    <row r="41" spans="1:34" ht="13.5" customHeight="1">
      <c r="A41" s="166"/>
      <c r="B41" s="164" t="s">
        <v>88</v>
      </c>
      <c r="C41" s="164"/>
      <c r="D41" s="164"/>
      <c r="E41" s="164">
        <v>0</v>
      </c>
      <c r="F41" s="164"/>
      <c r="G41" s="164" t="s">
        <v>89</v>
      </c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</row>
    <row r="42" spans="1:34">
      <c r="A42" s="166"/>
      <c r="B42" s="164"/>
      <c r="C42" s="164"/>
      <c r="D42" s="164"/>
      <c r="E42" s="161"/>
      <c r="F42" s="164"/>
      <c r="G42" s="170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</row>
    <row r="43" spans="1:34">
      <c r="A43" s="166" t="s">
        <v>17</v>
      </c>
      <c r="B43" s="164"/>
      <c r="C43" s="164"/>
      <c r="D43" s="164"/>
      <c r="E43" s="161"/>
      <c r="F43" s="164"/>
      <c r="G43" s="164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</row>
    <row r="44" spans="1:34">
      <c r="A44" s="164"/>
      <c r="B44" s="164" t="s">
        <v>15</v>
      </c>
      <c r="C44" s="164"/>
      <c r="D44" s="164"/>
      <c r="E44" s="164">
        <v>3</v>
      </c>
      <c r="F44" s="164"/>
      <c r="G44" s="164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</row>
    <row r="45" spans="1:34">
      <c r="A45" s="164"/>
      <c r="B45" s="164" t="s">
        <v>19</v>
      </c>
      <c r="C45" s="164"/>
      <c r="D45" s="164"/>
      <c r="E45" s="164">
        <v>1</v>
      </c>
      <c r="F45" s="164"/>
      <c r="G45" s="170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</row>
    <row r="46" spans="1:34">
      <c r="A46" s="164"/>
      <c r="B46" s="164" t="s">
        <v>18</v>
      </c>
      <c r="C46" s="164"/>
      <c r="D46" s="164"/>
      <c r="E46" s="164">
        <v>2</v>
      </c>
      <c r="F46" s="170"/>
      <c r="G46" s="170"/>
    </row>
    <row r="47" spans="1:34">
      <c r="A47" s="164"/>
      <c r="B47" s="164" t="s">
        <v>16</v>
      </c>
      <c r="C47" s="164"/>
      <c r="D47" s="164"/>
      <c r="E47" s="164">
        <v>3</v>
      </c>
      <c r="F47" s="170"/>
      <c r="G47" s="170"/>
    </row>
    <row r="48" spans="1:34">
      <c r="A48" s="149"/>
      <c r="C48" s="149"/>
      <c r="D48" s="149"/>
    </row>
    <row r="49" spans="1:1">
      <c r="A49" s="150"/>
    </row>
    <row r="50" spans="1:1">
      <c r="A50" s="149"/>
    </row>
    <row r="51" spans="1:1">
      <c r="A51" s="149"/>
    </row>
  </sheetData>
  <phoneticPr fontId="2" type="noConversion"/>
  <conditionalFormatting sqref="D19:R21">
    <cfRule type="expression" dxfId="32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45"/>
  <sheetViews>
    <sheetView tabSelected="1"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G10" sqref="G10"/>
    </sheetView>
  </sheetViews>
  <sheetFormatPr defaultRowHeight="12.75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/>
    <row r="2" spans="2:28" ht="13.5" thickBot="1">
      <c r="B2" s="45" t="s">
        <v>44</v>
      </c>
      <c r="C2" s="46"/>
      <c r="D2" s="47" t="str">
        <f ca="1">TEXT(E2,"ddd")</f>
        <v>Tue</v>
      </c>
      <c r="E2" s="48">
        <f ca="1">TODAY()-5</f>
        <v>42241</v>
      </c>
    </row>
    <row r="3" spans="2:28" ht="13.5" thickBot="1">
      <c r="B3" s="49" t="s">
        <v>43</v>
      </c>
      <c r="C3" s="50"/>
      <c r="D3" s="51" t="str">
        <f ca="1">TEXT(E3,"ddd")</f>
        <v>Tue</v>
      </c>
      <c r="E3" s="48">
        <f ca="1">TODAY()-5</f>
        <v>42241</v>
      </c>
    </row>
    <row r="4" spans="2:28" ht="13.5" thickBot="1">
      <c r="D4" s="43"/>
      <c r="E4" s="52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</row>
    <row r="5" spans="2:28" ht="15.75" thickBot="1">
      <c r="B5" s="194" t="s">
        <v>47</v>
      </c>
      <c r="C5" s="195"/>
      <c r="D5" s="195"/>
      <c r="E5" s="195"/>
      <c r="F5" s="195"/>
      <c r="G5" s="196"/>
      <c r="I5" s="54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7"/>
      <c r="X5" s="56"/>
      <c r="Y5" s="56"/>
      <c r="Z5" s="56"/>
      <c r="AA5" s="56"/>
      <c r="AB5" s="58"/>
    </row>
    <row r="6" spans="2:28" ht="13.5" thickBot="1">
      <c r="B6" s="59" t="s">
        <v>55</v>
      </c>
      <c r="C6" s="60">
        <v>8</v>
      </c>
      <c r="D6" s="61"/>
      <c r="E6" s="62" t="s">
        <v>56</v>
      </c>
      <c r="F6" s="63">
        <v>14</v>
      </c>
      <c r="G6" s="64"/>
      <c r="I6" s="65">
        <f ca="1">IF(D3="Mon",E3-0,IF(D3="Tue",E3-1,IF(D3="Wed",E3-2,IF(D3="Thu",E3-3,IF(D3="Fri",E3-4,IF(D3="Sat",E3-5,IF(D3="Sun",E3-6,"False")))))))</f>
        <v>42240</v>
      </c>
      <c r="J6" s="66">
        <f t="shared" ref="J6:O6" ca="1" si="0">I6+1</f>
        <v>42241</v>
      </c>
      <c r="K6" s="66">
        <f t="shared" ca="1" si="0"/>
        <v>42242</v>
      </c>
      <c r="L6" s="66">
        <f t="shared" ca="1" si="0"/>
        <v>42243</v>
      </c>
      <c r="M6" s="66">
        <f t="shared" ca="1" si="0"/>
        <v>42244</v>
      </c>
      <c r="N6" s="67">
        <f t="shared" ca="1" si="0"/>
        <v>42245</v>
      </c>
      <c r="O6" s="67">
        <f t="shared" ca="1" si="0"/>
        <v>42246</v>
      </c>
      <c r="P6" s="68">
        <f ca="1">I6+7</f>
        <v>42247</v>
      </c>
      <c r="Q6" s="66">
        <f t="shared" ref="Q6:V6" ca="1" si="1">P6+1</f>
        <v>42248</v>
      </c>
      <c r="R6" s="66">
        <f t="shared" ca="1" si="1"/>
        <v>42249</v>
      </c>
      <c r="S6" s="66">
        <f t="shared" ca="1" si="1"/>
        <v>42250</v>
      </c>
      <c r="T6" s="66">
        <f t="shared" ca="1" si="1"/>
        <v>42251</v>
      </c>
      <c r="U6" s="67">
        <f t="shared" ca="1" si="1"/>
        <v>42252</v>
      </c>
      <c r="V6" s="67">
        <f t="shared" ca="1" si="1"/>
        <v>42253</v>
      </c>
      <c r="W6" s="197"/>
      <c r="X6" s="198"/>
      <c r="Y6" s="198"/>
      <c r="Z6" s="198"/>
      <c r="AA6" s="198"/>
      <c r="AB6" s="199"/>
    </row>
    <row r="7" spans="2:28" ht="29.25" customHeight="1" thickBot="1">
      <c r="B7" s="69"/>
      <c r="C7" s="70"/>
      <c r="D7" s="61"/>
      <c r="E7" s="71" t="s">
        <v>45</v>
      </c>
      <c r="F7" s="71" t="s">
        <v>53</v>
      </c>
      <c r="G7" s="72" t="s">
        <v>46</v>
      </c>
      <c r="I7" s="73" t="s">
        <v>32</v>
      </c>
      <c r="J7" s="74" t="s">
        <v>34</v>
      </c>
      <c r="K7" s="74" t="s">
        <v>35</v>
      </c>
      <c r="L7" s="74" t="s">
        <v>34</v>
      </c>
      <c r="M7" s="74" t="s">
        <v>36</v>
      </c>
      <c r="N7" s="75" t="s">
        <v>33</v>
      </c>
      <c r="O7" s="76" t="s">
        <v>33</v>
      </c>
      <c r="P7" s="73" t="s">
        <v>32</v>
      </c>
      <c r="Q7" s="74" t="s">
        <v>34</v>
      </c>
      <c r="R7" s="74" t="s">
        <v>35</v>
      </c>
      <c r="S7" s="74" t="s">
        <v>34</v>
      </c>
      <c r="T7" s="74" t="s">
        <v>36</v>
      </c>
      <c r="U7" s="75" t="s">
        <v>33</v>
      </c>
      <c r="V7" s="76" t="s">
        <v>33</v>
      </c>
      <c r="W7" s="200" t="s">
        <v>42</v>
      </c>
      <c r="X7" s="201"/>
      <c r="Y7" s="201"/>
      <c r="Z7" s="201"/>
      <c r="AA7" s="201"/>
      <c r="AB7" s="202"/>
    </row>
    <row r="8" spans="2:28" ht="13.5" thickBot="1">
      <c r="B8" s="77" t="s">
        <v>37</v>
      </c>
      <c r="C8" s="78">
        <f>SUM(G8:G25)</f>
        <v>50</v>
      </c>
      <c r="D8" s="79"/>
      <c r="E8" s="80" t="s">
        <v>135</v>
      </c>
      <c r="F8" s="81">
        <v>0.3</v>
      </c>
      <c r="G8" s="82">
        <v>21</v>
      </c>
      <c r="H8" s="83"/>
      <c r="I8" s="89">
        <f t="shared" ref="I8:J18" ca="1" si="2">IF(I$6&lt;$E$3,0,IF(ISBLANK($E8),0,IF(I$6&lt;$E$2,0,1)))</f>
        <v>0</v>
      </c>
      <c r="J8" s="90">
        <f t="shared" ca="1" si="2"/>
        <v>1</v>
      </c>
      <c r="K8" s="90">
        <f t="shared" ref="K8:M23" ca="1" si="3">IF(K$6&lt;$E$3,0,IF(ISBLANK($E8),0,IF(K$6&lt;$E$2,0,1)))</f>
        <v>1</v>
      </c>
      <c r="L8" s="90">
        <f t="shared" ca="1" si="3"/>
        <v>1</v>
      </c>
      <c r="M8" s="90">
        <f t="shared" ca="1" si="3"/>
        <v>1</v>
      </c>
      <c r="N8" s="84"/>
      <c r="O8" s="85"/>
      <c r="P8" s="89">
        <f t="shared" ref="P8:T18" ca="1" si="4">IF(P$6&lt;$E$3,0,IF(ISBLANK($E8),0,IF(P$6&lt;$E$2,0,1)))</f>
        <v>1</v>
      </c>
      <c r="Q8" s="90">
        <f t="shared" ca="1" si="4"/>
        <v>1</v>
      </c>
      <c r="R8" s="90">
        <f t="shared" ca="1" si="4"/>
        <v>1</v>
      </c>
      <c r="S8" s="90">
        <f t="shared" ca="1" si="4"/>
        <v>1</v>
      </c>
      <c r="T8" s="90">
        <f t="shared" ca="1" si="4"/>
        <v>1</v>
      </c>
      <c r="U8" s="84"/>
      <c r="V8" s="85"/>
      <c r="W8" s="191">
        <f t="shared" ref="W8:W25" ca="1" si="5">IF(E8="unassigned",0,(COUNTIF(I8:V8,1)*$C$6)*F8)</f>
        <v>21.599999999999998</v>
      </c>
      <c r="X8" s="192"/>
      <c r="Y8" s="192"/>
      <c r="Z8" s="192"/>
      <c r="AA8" s="192"/>
      <c r="AB8" s="193"/>
    </row>
    <row r="9" spans="2:28" ht="13.5" thickBot="1">
      <c r="B9" s="86" t="s">
        <v>38</v>
      </c>
      <c r="C9" s="78">
        <f ca="1">SUM(W8:AB25)</f>
        <v>64.8</v>
      </c>
      <c r="D9" s="87"/>
      <c r="E9" s="18" t="s">
        <v>136</v>
      </c>
      <c r="F9" s="88">
        <v>0.3</v>
      </c>
      <c r="G9" s="82">
        <v>21</v>
      </c>
      <c r="H9" s="83"/>
      <c r="I9" s="89">
        <f t="shared" ca="1" si="2"/>
        <v>0</v>
      </c>
      <c r="J9" s="90">
        <f t="shared" ca="1" si="2"/>
        <v>1</v>
      </c>
      <c r="K9" s="90">
        <f t="shared" ca="1" si="3"/>
        <v>1</v>
      </c>
      <c r="L9" s="90">
        <f t="shared" ca="1" si="3"/>
        <v>1</v>
      </c>
      <c r="M9" s="90">
        <f t="shared" ca="1" si="3"/>
        <v>1</v>
      </c>
      <c r="N9" s="91"/>
      <c r="O9" s="92"/>
      <c r="P9" s="89">
        <f t="shared" ca="1" si="4"/>
        <v>1</v>
      </c>
      <c r="Q9" s="90">
        <f t="shared" ca="1" si="4"/>
        <v>1</v>
      </c>
      <c r="R9" s="90">
        <f t="shared" ca="1" si="4"/>
        <v>1</v>
      </c>
      <c r="S9" s="90">
        <f t="shared" ca="1" si="4"/>
        <v>1</v>
      </c>
      <c r="T9" s="90">
        <f t="shared" ca="1" si="4"/>
        <v>1</v>
      </c>
      <c r="U9" s="91"/>
      <c r="V9" s="92"/>
      <c r="W9" s="191">
        <f t="shared" ca="1" si="5"/>
        <v>21.599999999999998</v>
      </c>
      <c r="X9" s="192"/>
      <c r="Y9" s="192"/>
      <c r="Z9" s="192"/>
      <c r="AA9" s="192"/>
      <c r="AB9" s="193"/>
    </row>
    <row r="10" spans="2:28" ht="13.5" thickBot="1">
      <c r="B10" s="93" t="s">
        <v>39</v>
      </c>
      <c r="C10" s="94">
        <f ca="1">C8-C9</f>
        <v>-14.799999999999997</v>
      </c>
      <c r="D10" s="61"/>
      <c r="E10" s="18" t="s">
        <v>138</v>
      </c>
      <c r="F10" s="88">
        <v>0.3</v>
      </c>
      <c r="G10" s="82">
        <v>8</v>
      </c>
      <c r="H10" s="83"/>
      <c r="I10" s="89">
        <f t="shared" ca="1" si="2"/>
        <v>0</v>
      </c>
      <c r="J10" s="90">
        <f t="shared" ca="1" si="2"/>
        <v>1</v>
      </c>
      <c r="K10" s="90">
        <f t="shared" ca="1" si="3"/>
        <v>1</v>
      </c>
      <c r="L10" s="90">
        <f t="shared" ca="1" si="3"/>
        <v>1</v>
      </c>
      <c r="M10" s="90">
        <f t="shared" ca="1" si="3"/>
        <v>1</v>
      </c>
      <c r="N10" s="91"/>
      <c r="O10" s="92"/>
      <c r="P10" s="89">
        <f t="shared" ca="1" si="4"/>
        <v>1</v>
      </c>
      <c r="Q10" s="90">
        <f t="shared" ca="1" si="4"/>
        <v>1</v>
      </c>
      <c r="R10" s="90">
        <f t="shared" ca="1" si="4"/>
        <v>1</v>
      </c>
      <c r="S10" s="90">
        <f t="shared" ca="1" si="4"/>
        <v>1</v>
      </c>
      <c r="T10" s="90">
        <f t="shared" ca="1" si="4"/>
        <v>1</v>
      </c>
      <c r="U10" s="91"/>
      <c r="V10" s="92"/>
      <c r="W10" s="191">
        <f t="shared" ca="1" si="5"/>
        <v>21.599999999999998</v>
      </c>
      <c r="X10" s="192"/>
      <c r="Y10" s="192"/>
      <c r="Z10" s="192"/>
      <c r="AA10" s="192"/>
      <c r="AB10" s="193"/>
    </row>
    <row r="11" spans="2:28" ht="13.5" thickBot="1">
      <c r="B11" s="95"/>
      <c r="D11" s="96"/>
      <c r="E11" s="18"/>
      <c r="F11" s="88"/>
      <c r="G11" s="82">
        <f>SUMIF(Sprint!$F$4:$F$1854,E11,Sprint!$AX$4:$AX$1854)</f>
        <v>0</v>
      </c>
      <c r="H11" s="83"/>
      <c r="I11" s="89">
        <f t="shared" ca="1" si="2"/>
        <v>0</v>
      </c>
      <c r="J11" s="90">
        <f t="shared" ca="1" si="2"/>
        <v>0</v>
      </c>
      <c r="K11" s="90">
        <f t="shared" ca="1" si="3"/>
        <v>0</v>
      </c>
      <c r="L11" s="90">
        <f t="shared" ca="1" si="3"/>
        <v>0</v>
      </c>
      <c r="M11" s="90">
        <f t="shared" ca="1" si="3"/>
        <v>0</v>
      </c>
      <c r="N11" s="91"/>
      <c r="O11" s="92"/>
      <c r="P11" s="89">
        <f t="shared" ca="1" si="4"/>
        <v>0</v>
      </c>
      <c r="Q11" s="90">
        <f t="shared" ca="1" si="4"/>
        <v>0</v>
      </c>
      <c r="R11" s="90">
        <f t="shared" ca="1" si="4"/>
        <v>0</v>
      </c>
      <c r="S11" s="90">
        <f t="shared" ca="1" si="4"/>
        <v>0</v>
      </c>
      <c r="T11" s="90">
        <f t="shared" ca="1" si="4"/>
        <v>0</v>
      </c>
      <c r="U11" s="91"/>
      <c r="V11" s="92"/>
      <c r="W11" s="191">
        <f t="shared" ca="1" si="5"/>
        <v>0</v>
      </c>
      <c r="X11" s="192"/>
      <c r="Y11" s="192"/>
      <c r="Z11" s="192"/>
      <c r="AA11" s="192"/>
      <c r="AB11" s="193"/>
    </row>
    <row r="12" spans="2:28" ht="13.5" thickBot="1">
      <c r="B12" s="95"/>
      <c r="D12" s="96"/>
      <c r="E12" s="18"/>
      <c r="F12" s="88"/>
      <c r="G12" s="82">
        <f>SUMIF(Sprint!$F$4:$F$1854,E12,Sprint!$AX$4:$AX$1854)</f>
        <v>0</v>
      </c>
      <c r="H12" s="83"/>
      <c r="I12" s="89">
        <f t="shared" ca="1" si="2"/>
        <v>0</v>
      </c>
      <c r="J12" s="90">
        <f t="shared" ca="1" si="2"/>
        <v>0</v>
      </c>
      <c r="K12" s="90">
        <f t="shared" ca="1" si="3"/>
        <v>0</v>
      </c>
      <c r="L12" s="90">
        <f t="shared" ca="1" si="3"/>
        <v>0</v>
      </c>
      <c r="M12" s="90">
        <f t="shared" ca="1" si="3"/>
        <v>0</v>
      </c>
      <c r="N12" s="91"/>
      <c r="O12" s="92"/>
      <c r="P12" s="89">
        <f t="shared" ca="1" si="4"/>
        <v>0</v>
      </c>
      <c r="Q12" s="90">
        <f t="shared" ca="1" si="4"/>
        <v>0</v>
      </c>
      <c r="R12" s="90">
        <f t="shared" ca="1" si="4"/>
        <v>0</v>
      </c>
      <c r="S12" s="90">
        <f t="shared" ca="1" si="4"/>
        <v>0</v>
      </c>
      <c r="T12" s="90">
        <f t="shared" ca="1" si="4"/>
        <v>0</v>
      </c>
      <c r="U12" s="91"/>
      <c r="V12" s="92"/>
      <c r="W12" s="191">
        <f t="shared" ca="1" si="5"/>
        <v>0</v>
      </c>
      <c r="X12" s="192"/>
      <c r="Y12" s="192"/>
      <c r="Z12" s="192"/>
      <c r="AA12" s="192"/>
      <c r="AB12" s="193"/>
    </row>
    <row r="13" spans="2:28" ht="13.5" thickBot="1">
      <c r="B13" s="95"/>
      <c r="D13" s="97"/>
      <c r="E13" s="18"/>
      <c r="F13" s="88"/>
      <c r="G13" s="82">
        <f>SUMIF(Sprint!$F$4:$F$1854,E13,Sprint!$AX$4:$AX$1854)</f>
        <v>0</v>
      </c>
      <c r="H13" s="83"/>
      <c r="I13" s="89">
        <f t="shared" ca="1" si="2"/>
        <v>0</v>
      </c>
      <c r="J13" s="90">
        <f t="shared" ca="1" si="2"/>
        <v>0</v>
      </c>
      <c r="K13" s="90">
        <f t="shared" ca="1" si="3"/>
        <v>0</v>
      </c>
      <c r="L13" s="90">
        <f t="shared" ca="1" si="3"/>
        <v>0</v>
      </c>
      <c r="M13" s="90">
        <f t="shared" ca="1" si="3"/>
        <v>0</v>
      </c>
      <c r="N13" s="91"/>
      <c r="O13" s="92"/>
      <c r="P13" s="89">
        <f t="shared" ca="1" si="4"/>
        <v>0</v>
      </c>
      <c r="Q13" s="90">
        <f t="shared" ca="1" si="4"/>
        <v>0</v>
      </c>
      <c r="R13" s="90">
        <f t="shared" ca="1" si="4"/>
        <v>0</v>
      </c>
      <c r="S13" s="90">
        <f t="shared" ca="1" si="4"/>
        <v>0</v>
      </c>
      <c r="T13" s="90">
        <f t="shared" ca="1" si="4"/>
        <v>0</v>
      </c>
      <c r="U13" s="91"/>
      <c r="V13" s="92"/>
      <c r="W13" s="191">
        <f t="shared" ca="1" si="5"/>
        <v>0</v>
      </c>
      <c r="X13" s="192"/>
      <c r="Y13" s="192"/>
      <c r="Z13" s="192"/>
      <c r="AA13" s="192"/>
      <c r="AB13" s="193"/>
    </row>
    <row r="14" spans="2:28" ht="13.5" thickBot="1">
      <c r="B14" s="95"/>
      <c r="D14" s="61"/>
      <c r="E14" s="18"/>
      <c r="F14" s="88"/>
      <c r="G14" s="82">
        <f>SUMIF(Sprint!$F$4:$F$1854,E14,Sprint!$AX$4:$AX$1854)</f>
        <v>0</v>
      </c>
      <c r="H14" s="83"/>
      <c r="I14" s="89">
        <f t="shared" ca="1" si="2"/>
        <v>0</v>
      </c>
      <c r="J14" s="90">
        <f t="shared" ca="1" si="2"/>
        <v>0</v>
      </c>
      <c r="K14" s="90">
        <f t="shared" ca="1" si="3"/>
        <v>0</v>
      </c>
      <c r="L14" s="90">
        <f t="shared" ca="1" si="3"/>
        <v>0</v>
      </c>
      <c r="M14" s="90">
        <f t="shared" ca="1" si="3"/>
        <v>0</v>
      </c>
      <c r="N14" s="91"/>
      <c r="O14" s="92"/>
      <c r="P14" s="89">
        <f t="shared" ca="1" si="4"/>
        <v>0</v>
      </c>
      <c r="Q14" s="90">
        <f t="shared" ca="1" si="4"/>
        <v>0</v>
      </c>
      <c r="R14" s="90">
        <f t="shared" ca="1" si="4"/>
        <v>0</v>
      </c>
      <c r="S14" s="90">
        <f t="shared" ca="1" si="4"/>
        <v>0</v>
      </c>
      <c r="T14" s="90">
        <f t="shared" ca="1" si="4"/>
        <v>0</v>
      </c>
      <c r="U14" s="91"/>
      <c r="V14" s="92"/>
      <c r="W14" s="191">
        <f t="shared" ca="1" si="5"/>
        <v>0</v>
      </c>
      <c r="X14" s="192"/>
      <c r="Y14" s="192"/>
      <c r="Z14" s="192"/>
      <c r="AA14" s="192"/>
      <c r="AB14" s="193"/>
    </row>
    <row r="15" spans="2:28" ht="13.5" thickBot="1">
      <c r="B15" s="95"/>
      <c r="D15" s="61"/>
      <c r="E15" s="18"/>
      <c r="F15" s="88"/>
      <c r="G15" s="82">
        <f>SUMIF(Sprint!$F$4:$F$1854,E15,Sprint!$AX$4:$AX$1854)</f>
        <v>0</v>
      </c>
      <c r="H15" s="83"/>
      <c r="I15" s="89">
        <f t="shared" ca="1" si="2"/>
        <v>0</v>
      </c>
      <c r="J15" s="90">
        <f t="shared" ca="1" si="2"/>
        <v>0</v>
      </c>
      <c r="K15" s="90">
        <f t="shared" ca="1" si="3"/>
        <v>0</v>
      </c>
      <c r="L15" s="90">
        <f t="shared" ca="1" si="3"/>
        <v>0</v>
      </c>
      <c r="M15" s="90">
        <f t="shared" ca="1" si="3"/>
        <v>0</v>
      </c>
      <c r="N15" s="91"/>
      <c r="O15" s="92"/>
      <c r="P15" s="89">
        <f t="shared" ca="1" si="4"/>
        <v>0</v>
      </c>
      <c r="Q15" s="90">
        <f t="shared" ca="1" si="4"/>
        <v>0</v>
      </c>
      <c r="R15" s="90">
        <f t="shared" ca="1" si="4"/>
        <v>0</v>
      </c>
      <c r="S15" s="90">
        <f t="shared" ca="1" si="4"/>
        <v>0</v>
      </c>
      <c r="T15" s="90">
        <f t="shared" ca="1" si="4"/>
        <v>0</v>
      </c>
      <c r="U15" s="91"/>
      <c r="V15" s="92"/>
      <c r="W15" s="191">
        <f t="shared" ca="1" si="5"/>
        <v>0</v>
      </c>
      <c r="X15" s="192"/>
      <c r="Y15" s="192"/>
      <c r="Z15" s="192"/>
      <c r="AA15" s="192"/>
      <c r="AB15" s="193"/>
    </row>
    <row r="16" spans="2:28" ht="13.5" thickBot="1">
      <c r="B16" s="95"/>
      <c r="D16" s="97"/>
      <c r="E16" s="18"/>
      <c r="F16" s="88"/>
      <c r="G16" s="82">
        <f>SUMIF(Sprint!$F$4:$F$1854,E16,Sprint!$AX$4:$AX$1854)</f>
        <v>0</v>
      </c>
      <c r="H16" s="83"/>
      <c r="I16" s="89">
        <f t="shared" ca="1" si="2"/>
        <v>0</v>
      </c>
      <c r="J16" s="90">
        <f t="shared" ca="1" si="2"/>
        <v>0</v>
      </c>
      <c r="K16" s="90">
        <f t="shared" ca="1" si="3"/>
        <v>0</v>
      </c>
      <c r="L16" s="90">
        <f t="shared" ca="1" si="3"/>
        <v>0</v>
      </c>
      <c r="M16" s="90">
        <f t="shared" ca="1" si="3"/>
        <v>0</v>
      </c>
      <c r="N16" s="91"/>
      <c r="O16" s="92"/>
      <c r="P16" s="89">
        <f t="shared" ca="1" si="4"/>
        <v>0</v>
      </c>
      <c r="Q16" s="90">
        <f t="shared" ca="1" si="4"/>
        <v>0</v>
      </c>
      <c r="R16" s="90">
        <f t="shared" ca="1" si="4"/>
        <v>0</v>
      </c>
      <c r="S16" s="90">
        <f t="shared" ca="1" si="4"/>
        <v>0</v>
      </c>
      <c r="T16" s="90">
        <f t="shared" ca="1" si="4"/>
        <v>0</v>
      </c>
      <c r="U16" s="91"/>
      <c r="V16" s="92"/>
      <c r="W16" s="191">
        <f t="shared" ca="1" si="5"/>
        <v>0</v>
      </c>
      <c r="X16" s="192"/>
      <c r="Y16" s="192"/>
      <c r="Z16" s="192"/>
      <c r="AA16" s="192"/>
      <c r="AB16" s="193"/>
    </row>
    <row r="17" spans="2:28" ht="13.5" thickBot="1">
      <c r="B17" s="95"/>
      <c r="D17" s="97"/>
      <c r="E17" s="18"/>
      <c r="F17" s="88"/>
      <c r="G17" s="82">
        <f>SUMIF(Sprint!$F$4:$F$1854,E17,Sprint!$AX$4:$AX$1854)</f>
        <v>0</v>
      </c>
      <c r="H17" s="98"/>
      <c r="I17" s="89">
        <f t="shared" ca="1" si="2"/>
        <v>0</v>
      </c>
      <c r="J17" s="90">
        <f t="shared" ca="1" si="2"/>
        <v>0</v>
      </c>
      <c r="K17" s="90">
        <f t="shared" ca="1" si="3"/>
        <v>0</v>
      </c>
      <c r="L17" s="90">
        <f t="shared" ca="1" si="3"/>
        <v>0</v>
      </c>
      <c r="M17" s="90">
        <f t="shared" ca="1" si="3"/>
        <v>0</v>
      </c>
      <c r="N17" s="91"/>
      <c r="O17" s="92"/>
      <c r="P17" s="89">
        <f t="shared" ca="1" si="4"/>
        <v>0</v>
      </c>
      <c r="Q17" s="90">
        <f t="shared" ca="1" si="4"/>
        <v>0</v>
      </c>
      <c r="R17" s="90">
        <f t="shared" ca="1" si="4"/>
        <v>0</v>
      </c>
      <c r="S17" s="90">
        <f t="shared" ca="1" si="4"/>
        <v>0</v>
      </c>
      <c r="T17" s="90">
        <f t="shared" ca="1" si="4"/>
        <v>0</v>
      </c>
      <c r="U17" s="91"/>
      <c r="V17" s="92"/>
      <c r="W17" s="191">
        <f t="shared" ca="1" si="5"/>
        <v>0</v>
      </c>
      <c r="X17" s="192"/>
      <c r="Y17" s="192"/>
      <c r="Z17" s="192"/>
      <c r="AA17" s="192"/>
      <c r="AB17" s="193"/>
    </row>
    <row r="18" spans="2:28" ht="13.5" thickBot="1">
      <c r="B18" s="95"/>
      <c r="D18" s="97"/>
      <c r="E18" s="18"/>
      <c r="F18" s="88"/>
      <c r="G18" s="82">
        <f>SUMIF(Sprint!$F$4:$F$1854,E18,Sprint!$AX$4:$AX$1854)</f>
        <v>0</v>
      </c>
      <c r="H18" s="98"/>
      <c r="I18" s="89">
        <f t="shared" ca="1" si="2"/>
        <v>0</v>
      </c>
      <c r="J18" s="90">
        <f t="shared" ca="1" si="2"/>
        <v>0</v>
      </c>
      <c r="K18" s="90">
        <f t="shared" ca="1" si="3"/>
        <v>0</v>
      </c>
      <c r="L18" s="90">
        <f t="shared" ca="1" si="3"/>
        <v>0</v>
      </c>
      <c r="M18" s="90">
        <f t="shared" ca="1" si="3"/>
        <v>0</v>
      </c>
      <c r="N18" s="91"/>
      <c r="O18" s="92"/>
      <c r="P18" s="89">
        <f t="shared" ca="1" si="4"/>
        <v>0</v>
      </c>
      <c r="Q18" s="90">
        <f t="shared" ca="1" si="4"/>
        <v>0</v>
      </c>
      <c r="R18" s="90">
        <f t="shared" ca="1" si="4"/>
        <v>0</v>
      </c>
      <c r="S18" s="90">
        <f t="shared" ca="1" si="4"/>
        <v>0</v>
      </c>
      <c r="T18" s="90">
        <f t="shared" ca="1" si="4"/>
        <v>0</v>
      </c>
      <c r="U18" s="91"/>
      <c r="V18" s="92"/>
      <c r="W18" s="191">
        <f t="shared" ca="1" si="5"/>
        <v>0</v>
      </c>
      <c r="X18" s="192"/>
      <c r="Y18" s="192"/>
      <c r="Z18" s="192"/>
      <c r="AA18" s="192"/>
      <c r="AB18" s="193"/>
    </row>
    <row r="19" spans="2:28" ht="13.5" thickBot="1">
      <c r="B19" s="95"/>
      <c r="D19" s="97"/>
      <c r="E19" s="18"/>
      <c r="F19" s="88"/>
      <c r="G19" s="82">
        <f>SUMIF(Sprint!$F$4:$F$1854,E19,Sprint!$AX$4:$AX$1854)</f>
        <v>0</v>
      </c>
      <c r="H19" s="98"/>
      <c r="I19" s="89">
        <f t="shared" ref="I19:I25" ca="1" si="6">IF(I$6&lt;$E$3,0,IF(ISBLANK($E19),0,IF(I$6&lt;$E$2,0,1)))</f>
        <v>0</v>
      </c>
      <c r="J19" s="90">
        <f t="shared" ref="J19:J25" ca="1" si="7">IF(J$6&lt;$E$3,0,IF(ISBLANK($E19),0,IF(J$6&lt;$E$2,0,1)))</f>
        <v>0</v>
      </c>
      <c r="K19" s="90">
        <f t="shared" ca="1" si="3"/>
        <v>0</v>
      </c>
      <c r="L19" s="90">
        <f t="shared" ca="1" si="3"/>
        <v>0</v>
      </c>
      <c r="M19" s="90">
        <f t="shared" ca="1" si="3"/>
        <v>0</v>
      </c>
      <c r="N19" s="91"/>
      <c r="O19" s="92"/>
      <c r="P19" s="89">
        <f t="shared" ref="P19:Q25" ca="1" si="8">IF(P$6&lt;$E$3,0,IF(ISBLANK($E19),0,IF(P$6&lt;$E$2,0,1)))</f>
        <v>0</v>
      </c>
      <c r="Q19" s="90">
        <f t="shared" ca="1" si="8"/>
        <v>0</v>
      </c>
      <c r="R19" s="90">
        <f t="shared" ref="R19:T23" ca="1" si="9">IF(R$6&lt;$E$3,0,IF(ISBLANK($E19),0,IF(R$6&lt;$E$2,0,1)))</f>
        <v>0</v>
      </c>
      <c r="S19" s="90">
        <f t="shared" ca="1" si="9"/>
        <v>0</v>
      </c>
      <c r="T19" s="90">
        <f t="shared" ca="1" si="9"/>
        <v>0</v>
      </c>
      <c r="U19" s="91"/>
      <c r="V19" s="92"/>
      <c r="W19" s="191">
        <f t="shared" ca="1" si="5"/>
        <v>0</v>
      </c>
      <c r="X19" s="192"/>
      <c r="Y19" s="192"/>
      <c r="Z19" s="192"/>
      <c r="AA19" s="192"/>
      <c r="AB19" s="193"/>
    </row>
    <row r="20" spans="2:28" ht="13.5" thickBot="1">
      <c r="B20" s="95"/>
      <c r="D20" s="97"/>
      <c r="E20" s="18"/>
      <c r="F20" s="88"/>
      <c r="G20" s="82">
        <f>SUMIF(Sprint!$F$4:$F$1854,E20,Sprint!$AX$4:$AX$1854)</f>
        <v>0</v>
      </c>
      <c r="H20" s="98"/>
      <c r="I20" s="89">
        <f t="shared" ca="1" si="6"/>
        <v>0</v>
      </c>
      <c r="J20" s="90">
        <f t="shared" ca="1" si="7"/>
        <v>0</v>
      </c>
      <c r="K20" s="90">
        <f t="shared" ca="1" si="3"/>
        <v>0</v>
      </c>
      <c r="L20" s="90">
        <f t="shared" ca="1" si="3"/>
        <v>0</v>
      </c>
      <c r="M20" s="90">
        <f t="shared" ca="1" si="3"/>
        <v>0</v>
      </c>
      <c r="N20" s="91"/>
      <c r="O20" s="92"/>
      <c r="P20" s="89">
        <f t="shared" ca="1" si="8"/>
        <v>0</v>
      </c>
      <c r="Q20" s="90">
        <f t="shared" ca="1" si="8"/>
        <v>0</v>
      </c>
      <c r="R20" s="90">
        <f t="shared" ca="1" si="9"/>
        <v>0</v>
      </c>
      <c r="S20" s="90">
        <f t="shared" ca="1" si="9"/>
        <v>0</v>
      </c>
      <c r="T20" s="90">
        <f t="shared" ca="1" si="9"/>
        <v>0</v>
      </c>
      <c r="U20" s="91"/>
      <c r="V20" s="92"/>
      <c r="W20" s="191">
        <f t="shared" ca="1" si="5"/>
        <v>0</v>
      </c>
      <c r="X20" s="192"/>
      <c r="Y20" s="192"/>
      <c r="Z20" s="192"/>
      <c r="AA20" s="192"/>
      <c r="AB20" s="193"/>
    </row>
    <row r="21" spans="2:28" ht="13.5" thickBot="1">
      <c r="B21" s="95"/>
      <c r="C21" s="99"/>
      <c r="D21" s="97"/>
      <c r="E21" s="18"/>
      <c r="F21" s="88"/>
      <c r="G21" s="82">
        <f>SUMIF(Sprint!$F$4:$F$1854,E21,Sprint!$AX$4:$AX$1854)</f>
        <v>0</v>
      </c>
      <c r="H21" s="98"/>
      <c r="I21" s="89">
        <f t="shared" ca="1" si="6"/>
        <v>0</v>
      </c>
      <c r="J21" s="90">
        <f t="shared" ca="1" si="7"/>
        <v>0</v>
      </c>
      <c r="K21" s="90">
        <f t="shared" ca="1" si="3"/>
        <v>0</v>
      </c>
      <c r="L21" s="90">
        <f t="shared" ca="1" si="3"/>
        <v>0</v>
      </c>
      <c r="M21" s="90">
        <f t="shared" ca="1" si="3"/>
        <v>0</v>
      </c>
      <c r="N21" s="91"/>
      <c r="O21" s="92"/>
      <c r="P21" s="89">
        <f t="shared" ca="1" si="8"/>
        <v>0</v>
      </c>
      <c r="Q21" s="90">
        <f t="shared" ca="1" si="8"/>
        <v>0</v>
      </c>
      <c r="R21" s="90">
        <f t="shared" ca="1" si="9"/>
        <v>0</v>
      </c>
      <c r="S21" s="90">
        <f t="shared" ca="1" si="9"/>
        <v>0</v>
      </c>
      <c r="T21" s="90">
        <f t="shared" ca="1" si="9"/>
        <v>0</v>
      </c>
      <c r="U21" s="91"/>
      <c r="V21" s="92"/>
      <c r="W21" s="191">
        <f t="shared" ca="1" si="5"/>
        <v>0</v>
      </c>
      <c r="X21" s="192"/>
      <c r="Y21" s="192"/>
      <c r="Z21" s="192"/>
      <c r="AA21" s="192"/>
      <c r="AB21" s="193"/>
    </row>
    <row r="22" spans="2:28" ht="13.5" thickBot="1">
      <c r="B22" s="69"/>
      <c r="C22" s="100"/>
      <c r="D22" s="97"/>
      <c r="E22" s="18"/>
      <c r="F22" s="101"/>
      <c r="G22" s="82">
        <f>SUMIF(Sprint!$F$4:$F$1854,E22,Sprint!$AX$4:$AX$1854)</f>
        <v>0</v>
      </c>
      <c r="H22" s="98"/>
      <c r="I22" s="89">
        <f t="shared" ca="1" si="6"/>
        <v>0</v>
      </c>
      <c r="J22" s="90">
        <f t="shared" ca="1" si="7"/>
        <v>0</v>
      </c>
      <c r="K22" s="90">
        <f t="shared" ca="1" si="3"/>
        <v>0</v>
      </c>
      <c r="L22" s="90">
        <f t="shared" ca="1" si="3"/>
        <v>0</v>
      </c>
      <c r="M22" s="90">
        <f t="shared" ca="1" si="3"/>
        <v>0</v>
      </c>
      <c r="N22" s="91"/>
      <c r="O22" s="92"/>
      <c r="P22" s="89">
        <f t="shared" ca="1" si="8"/>
        <v>0</v>
      </c>
      <c r="Q22" s="90">
        <f t="shared" ca="1" si="8"/>
        <v>0</v>
      </c>
      <c r="R22" s="90">
        <f t="shared" ca="1" si="9"/>
        <v>0</v>
      </c>
      <c r="S22" s="90">
        <f t="shared" ca="1" si="9"/>
        <v>0</v>
      </c>
      <c r="T22" s="90">
        <f t="shared" ca="1" si="9"/>
        <v>0</v>
      </c>
      <c r="U22" s="91"/>
      <c r="V22" s="92"/>
      <c r="W22" s="191">
        <f t="shared" ca="1" si="5"/>
        <v>0</v>
      </c>
      <c r="X22" s="192"/>
      <c r="Y22" s="192"/>
      <c r="Z22" s="192"/>
      <c r="AA22" s="192"/>
      <c r="AB22" s="193"/>
    </row>
    <row r="23" spans="2:28" ht="13.5" thickBot="1">
      <c r="B23" s="69"/>
      <c r="D23" s="97"/>
      <c r="E23" s="18"/>
      <c r="F23" s="101"/>
      <c r="G23" s="82">
        <f>SUMIF(Sprint!$F$4:$F$1854,E23,Sprint!$AX$4:$AX$1854)</f>
        <v>0</v>
      </c>
      <c r="H23" s="98"/>
      <c r="I23" s="89">
        <f t="shared" ca="1" si="6"/>
        <v>0</v>
      </c>
      <c r="J23" s="90">
        <f t="shared" ca="1" si="7"/>
        <v>0</v>
      </c>
      <c r="K23" s="90">
        <f t="shared" ca="1" si="3"/>
        <v>0</v>
      </c>
      <c r="L23" s="90">
        <f t="shared" ca="1" si="3"/>
        <v>0</v>
      </c>
      <c r="M23" s="90">
        <f t="shared" ca="1" si="3"/>
        <v>0</v>
      </c>
      <c r="N23" s="91"/>
      <c r="O23" s="92"/>
      <c r="P23" s="89">
        <f t="shared" ca="1" si="8"/>
        <v>0</v>
      </c>
      <c r="Q23" s="90">
        <f t="shared" ca="1" si="8"/>
        <v>0</v>
      </c>
      <c r="R23" s="90">
        <f t="shared" ca="1" si="9"/>
        <v>0</v>
      </c>
      <c r="S23" s="90">
        <f t="shared" ca="1" si="9"/>
        <v>0</v>
      </c>
      <c r="T23" s="90">
        <f t="shared" ca="1" si="9"/>
        <v>0</v>
      </c>
      <c r="U23" s="91"/>
      <c r="V23" s="92"/>
      <c r="W23" s="191">
        <f t="shared" ca="1" si="5"/>
        <v>0</v>
      </c>
      <c r="X23" s="192"/>
      <c r="Y23" s="192"/>
      <c r="Z23" s="192"/>
      <c r="AA23" s="192"/>
      <c r="AB23" s="193"/>
    </row>
    <row r="24" spans="2:28" ht="13.5" thickBot="1">
      <c r="B24" s="95"/>
      <c r="D24" s="97"/>
      <c r="E24" s="18"/>
      <c r="F24" s="101"/>
      <c r="G24" s="82">
        <f>SUMIF(Sprint!$F$4:$F$1854,E24,Sprint!$AX$4:$AX$1854)</f>
        <v>0</v>
      </c>
      <c r="H24" s="98"/>
      <c r="I24" s="89">
        <f t="shared" ca="1" si="6"/>
        <v>0</v>
      </c>
      <c r="J24" s="90">
        <f t="shared" ca="1" si="7"/>
        <v>0</v>
      </c>
      <c r="K24" s="90">
        <f t="shared" ref="K24:M25" ca="1" si="10">IF(K$6&lt;$E$3,0,IF(ISBLANK($E24),0,IF(K$6&lt;$E$2,0,1)))</f>
        <v>0</v>
      </c>
      <c r="L24" s="90">
        <f t="shared" ca="1" si="10"/>
        <v>0</v>
      </c>
      <c r="M24" s="90">
        <f t="shared" ca="1" si="10"/>
        <v>0</v>
      </c>
      <c r="N24" s="91"/>
      <c r="O24" s="92"/>
      <c r="P24" s="89">
        <f t="shared" ca="1" si="8"/>
        <v>0</v>
      </c>
      <c r="Q24" s="90">
        <f t="shared" ca="1" si="8"/>
        <v>0</v>
      </c>
      <c r="R24" s="90">
        <f t="shared" ref="R24:T25" ca="1" si="11">IF(R$6&lt;$E$3,0,IF(ISBLANK($E24),0,IF(R$6&lt;$E$2,0,1)))</f>
        <v>0</v>
      </c>
      <c r="S24" s="90">
        <f t="shared" ca="1" si="11"/>
        <v>0</v>
      </c>
      <c r="T24" s="90">
        <f t="shared" ca="1" si="11"/>
        <v>0</v>
      </c>
      <c r="U24" s="91"/>
      <c r="V24" s="92"/>
      <c r="W24" s="191">
        <f t="shared" ca="1" si="5"/>
        <v>0</v>
      </c>
      <c r="X24" s="192"/>
      <c r="Y24" s="192"/>
      <c r="Z24" s="192"/>
      <c r="AA24" s="192"/>
      <c r="AB24" s="193"/>
    </row>
    <row r="25" spans="2:28" ht="13.5" thickBot="1">
      <c r="B25" s="95"/>
      <c r="D25" s="97"/>
      <c r="E25" s="102"/>
      <c r="F25" s="103"/>
      <c r="G25" s="82">
        <f>SUMIF(Sprint!$F$4:$F$1854,E25,Sprint!$AX$4:$AX$1854)</f>
        <v>0</v>
      </c>
      <c r="H25" s="98"/>
      <c r="I25" s="104">
        <f t="shared" ca="1" si="6"/>
        <v>0</v>
      </c>
      <c r="J25" s="105">
        <f t="shared" ca="1" si="7"/>
        <v>0</v>
      </c>
      <c r="K25" s="105">
        <f t="shared" ca="1" si="10"/>
        <v>0</v>
      </c>
      <c r="L25" s="105">
        <f t="shared" ca="1" si="10"/>
        <v>0</v>
      </c>
      <c r="M25" s="105">
        <f t="shared" ca="1" si="10"/>
        <v>0</v>
      </c>
      <c r="N25" s="106"/>
      <c r="O25" s="107"/>
      <c r="P25" s="104">
        <f t="shared" ca="1" si="8"/>
        <v>0</v>
      </c>
      <c r="Q25" s="105">
        <f t="shared" ca="1" si="8"/>
        <v>0</v>
      </c>
      <c r="R25" s="105">
        <f t="shared" ca="1" si="11"/>
        <v>0</v>
      </c>
      <c r="S25" s="105">
        <f t="shared" ca="1" si="11"/>
        <v>0</v>
      </c>
      <c r="T25" s="105">
        <f t="shared" ca="1" si="11"/>
        <v>0</v>
      </c>
      <c r="U25" s="106"/>
      <c r="V25" s="107"/>
      <c r="W25" s="191">
        <f t="shared" ca="1" si="5"/>
        <v>0</v>
      </c>
      <c r="X25" s="192"/>
      <c r="Y25" s="192"/>
      <c r="Z25" s="192"/>
      <c r="AA25" s="192"/>
      <c r="AB25" s="193"/>
    </row>
    <row r="26" spans="2:28">
      <c r="B26" s="95"/>
      <c r="D26" s="97"/>
      <c r="E26" s="108"/>
      <c r="F26" s="99"/>
      <c r="G26" s="109"/>
      <c r="I26" s="110"/>
      <c r="J26" s="111"/>
      <c r="K26" s="111"/>
      <c r="L26" s="111"/>
      <c r="M26" s="111"/>
      <c r="N26" s="112"/>
      <c r="O26" s="112"/>
      <c r="P26" s="111"/>
      <c r="Q26" s="111"/>
      <c r="R26" s="111"/>
      <c r="S26" s="111"/>
      <c r="T26" s="111"/>
      <c r="U26" s="112"/>
      <c r="V26" s="112"/>
      <c r="W26" s="113"/>
      <c r="X26" s="113"/>
      <c r="Y26" s="113"/>
      <c r="Z26" s="113"/>
      <c r="AA26" s="113"/>
      <c r="AB26" s="114"/>
    </row>
    <row r="27" spans="2:28" ht="13.5" thickBot="1">
      <c r="B27" s="115"/>
      <c r="C27" s="116"/>
      <c r="D27" s="116"/>
      <c r="E27" s="117"/>
      <c r="F27" s="117"/>
      <c r="G27" s="118"/>
      <c r="I27" s="119"/>
      <c r="J27" s="117"/>
      <c r="K27" s="117"/>
      <c r="L27" s="117"/>
      <c r="M27" s="120"/>
      <c r="N27" s="120"/>
      <c r="O27" s="120"/>
      <c r="P27" s="120"/>
      <c r="Q27" s="120"/>
      <c r="R27" s="117"/>
      <c r="S27" s="117"/>
      <c r="T27" s="120"/>
      <c r="U27" s="120"/>
      <c r="V27" s="120"/>
      <c r="W27" s="117"/>
      <c r="X27" s="117"/>
      <c r="Y27" s="117"/>
      <c r="Z27" s="117"/>
      <c r="AA27" s="117"/>
      <c r="AB27" s="118"/>
    </row>
    <row r="29" spans="2:28">
      <c r="I29" s="121" t="s">
        <v>51</v>
      </c>
      <c r="J29" s="43" t="s">
        <v>40</v>
      </c>
      <c r="K29" s="43" t="s">
        <v>52</v>
      </c>
      <c r="Q29" s="121" t="s">
        <v>50</v>
      </c>
      <c r="R29" s="43" t="s">
        <v>40</v>
      </c>
      <c r="S29" s="43" t="s">
        <v>54</v>
      </c>
    </row>
    <row r="30" spans="2:28">
      <c r="C30" s="122"/>
      <c r="D30" s="122"/>
    </row>
    <row r="31" spans="2:28">
      <c r="B31" s="97"/>
      <c r="C31" s="122"/>
      <c r="D31" s="122"/>
      <c r="E31" s="123"/>
      <c r="J31" s="6"/>
    </row>
    <row r="32" spans="2:28">
      <c r="C32" s="122"/>
      <c r="D32" s="122"/>
      <c r="E32" s="123"/>
      <c r="F32" s="52"/>
    </row>
    <row r="37" spans="2:22">
      <c r="I37" s="124"/>
    </row>
    <row r="38" spans="2:22">
      <c r="J38" s="125"/>
      <c r="K38" s="126"/>
      <c r="L38" s="126"/>
      <c r="M38" s="126"/>
      <c r="N38" s="126"/>
      <c r="O38" s="126"/>
      <c r="Q38" s="125"/>
      <c r="R38" s="126"/>
      <c r="S38" s="126"/>
      <c r="T38" s="126"/>
      <c r="U38" s="126"/>
      <c r="V38" s="126"/>
    </row>
    <row r="40" spans="2:22">
      <c r="E40" s="6"/>
    </row>
    <row r="45" spans="2:22">
      <c r="B45" s="127"/>
      <c r="E45" s="124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0" priority="2" stopIfTrue="1">
      <formula>G8&gt;W8</formula>
    </cfRule>
  </conditionalFormatting>
  <conditionalFormatting sqref="I8:M25 P8:T25">
    <cfRule type="cellIs" dxfId="31" priority="5" stopIfTrue="1" operator="equal">
      <formula>"H"</formula>
    </cfRule>
    <cfRule type="cellIs" dxfId="30" priority="6" stopIfTrue="1" operator="equal">
      <formula>"V"</formula>
    </cfRule>
    <cfRule type="expression" dxfId="29" priority="7" stopIfTrue="1">
      <formula>IF(I$6&lt;$E$2,1,0)</formula>
    </cfRule>
  </conditionalFormatting>
  <conditionalFormatting sqref="X30:X34 X26:X28 J32:J34 J26:J30 I26:I34 Q29 T26:W34 N8:O25 K26:O34 U8:V25 P30:S34 P26:S28">
    <cfRule type="cellIs" dxfId="28" priority="13" stopIfTrue="1" operator="equal">
      <formula>"DIO"</formula>
    </cfRule>
    <cfRule type="cellIs" dxfId="27" priority="14" stopIfTrue="1" operator="equal">
      <formula>"H"</formula>
    </cfRule>
    <cfRule type="cellIs" dxfId="26" priority="15" stopIfTrue="1" operator="equal">
      <formula>"V"</formula>
    </cfRule>
  </conditionalFormatting>
  <conditionalFormatting sqref="P6">
    <cfRule type="expression" dxfId="25" priority="21" stopIfTrue="1">
      <formula>P$6=TODAY()</formula>
    </cfRule>
    <cfRule type="expression" dxfId="24" priority="22" stopIfTrue="1">
      <formula>IF((P$6+1-$E$3)=$F$6,1,0)</formula>
    </cfRule>
  </conditionalFormatting>
  <conditionalFormatting sqref="Q6:V6 J6:O6">
    <cfRule type="expression" dxfId="23" priority="23" stopIfTrue="1">
      <formula>J$6=TODAY()</formula>
    </cfRule>
    <cfRule type="expression" dxfId="22" priority="24" stopIfTrue="1">
      <formula>IF((J$6+1-$E$3)=$F$6,1,0)</formula>
    </cfRule>
  </conditionalFormatting>
  <conditionalFormatting sqref="I6">
    <cfRule type="expression" dxfId="21" priority="25" stopIfTrue="1">
      <formula>I$6=TODAY()</formula>
    </cfRule>
    <cfRule type="expression" dxfId="20" priority="26" stopIfTrue="1">
      <formula>IF((J$6+1-$E$3)=$F$6,1,0)</formula>
    </cfRule>
  </conditionalFormatting>
  <conditionalFormatting sqref="F26:F27 F8:F21">
    <cfRule type="expression" dxfId="19" priority="1" stopIfTrue="1">
      <formula>H8&gt;X8</formula>
    </cfRule>
  </conditionalFormatting>
  <conditionalFormatting sqref="F30:F33">
    <cfRule type="expression" dxfId="18" priority="4" stopIfTrue="1">
      <formula>H28&gt;X28</formula>
    </cfRule>
  </conditionalFormatting>
  <conditionalFormatting sqref="C10">
    <cfRule type="cellIs" dxfId="17" priority="8" stopIfTrue="1" operator="greaterThan">
      <formula>0</formula>
    </cfRule>
    <cfRule type="cellIs" dxfId="16" priority="9" stopIfTrue="1" operator="lessThanOrEqual">
      <formula>0</formula>
    </cfRule>
  </conditionalFormatting>
  <conditionalFormatting sqref="C22 D14:D15 D6:D12 C6:C9">
    <cfRule type="cellIs" dxfId="15" priority="10" stopIfTrue="1" operator="equal">
      <formula>"3A"</formula>
    </cfRule>
    <cfRule type="cellIs" dxfId="14" priority="11" stopIfTrue="1" operator="equal">
      <formula>"3B"</formula>
    </cfRule>
  </conditionalFormatting>
  <conditionalFormatting sqref="G32:G34 G6">
    <cfRule type="cellIs" dxfId="13" priority="12" stopIfTrue="1" operator="equal">
      <formula>"Done"</formula>
    </cfRule>
  </conditionalFormatting>
  <conditionalFormatting sqref="I7:K7 M7:W7">
    <cfRule type="cellIs" dxfId="12" priority="16" stopIfTrue="1" operator="equal">
      <formula>"DIO"</formula>
    </cfRule>
    <cfRule type="cellIs" dxfId="11" priority="17" stopIfTrue="1" operator="equal">
      <formula>"H"</formula>
    </cfRule>
    <cfRule type="cellIs" dxfId="10" priority="18" stopIfTrue="1" operator="equal">
      <formula>"V"</formula>
    </cfRule>
  </conditionalFormatting>
  <conditionalFormatting sqref="L7">
    <cfRule type="cellIs" dxfId="9" priority="19" stopIfTrue="1" operator="equal">
      <formula>"DIO"</formula>
    </cfRule>
    <cfRule type="cellIs" dxfId="8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4:J51"/>
  <sheetViews>
    <sheetView workbookViewId="0">
      <selection activeCell="C4" sqref="C4"/>
    </sheetView>
  </sheetViews>
  <sheetFormatPr defaultRowHeight="12.75"/>
  <cols>
    <col min="1" max="1" width="2.7109375" style="43" customWidth="1"/>
    <col min="2" max="2" width="18.42578125" style="43" bestFit="1" customWidth="1"/>
    <col min="3" max="3" width="32.42578125" style="43" customWidth="1"/>
    <col min="4" max="4" width="14.140625" style="43" bestFit="1" customWidth="1"/>
    <col min="5" max="5" width="25.140625" style="43" customWidth="1"/>
    <col min="6" max="7" width="15.140625" style="43" bestFit="1" customWidth="1"/>
    <col min="8" max="8" width="13.7109375" style="43" customWidth="1"/>
    <col min="9" max="9" width="28.7109375" style="43" customWidth="1"/>
    <col min="10" max="10" width="2.85546875" style="43" bestFit="1" customWidth="1"/>
    <col min="11" max="16384" width="9.140625" style="43"/>
  </cols>
  <sheetData>
    <row r="4" spans="2:9">
      <c r="B4" s="128" t="s">
        <v>57</v>
      </c>
      <c r="C4" s="43">
        <v>1</v>
      </c>
    </row>
    <row r="5" spans="2:9" ht="13.5" thickBot="1"/>
    <row r="6" spans="2:9" ht="14.25" thickTop="1" thickBot="1">
      <c r="B6" s="128" t="s">
        <v>41</v>
      </c>
      <c r="C6" s="129" t="s">
        <v>97</v>
      </c>
      <c r="D6" s="130" t="s">
        <v>91</v>
      </c>
      <c r="E6" s="129" t="s">
        <v>139</v>
      </c>
      <c r="F6" s="131" t="s">
        <v>96</v>
      </c>
      <c r="G6" s="132" t="s">
        <v>95</v>
      </c>
      <c r="H6" s="132" t="s">
        <v>99</v>
      </c>
      <c r="I6" s="133" t="s">
        <v>98</v>
      </c>
    </row>
    <row r="7" spans="2:9" ht="13.5" thickTop="1">
      <c r="C7" s="134"/>
      <c r="D7" s="135" t="s">
        <v>49</v>
      </c>
      <c r="E7" s="140"/>
      <c r="F7" s="136"/>
      <c r="G7" s="137"/>
      <c r="H7" s="137"/>
      <c r="I7" s="138"/>
    </row>
    <row r="8" spans="2:9">
      <c r="C8" s="139" t="s">
        <v>133</v>
      </c>
      <c r="D8" s="140" t="s">
        <v>135</v>
      </c>
      <c r="E8" s="140" t="s">
        <v>140</v>
      </c>
      <c r="F8" s="140">
        <v>59381994</v>
      </c>
      <c r="G8" s="141" t="s">
        <v>94</v>
      </c>
      <c r="H8" s="140" t="s">
        <v>100</v>
      </c>
      <c r="I8" s="140" t="s">
        <v>92</v>
      </c>
    </row>
    <row r="9" spans="2:9">
      <c r="C9" s="139" t="s">
        <v>134</v>
      </c>
      <c r="D9" s="140" t="s">
        <v>136</v>
      </c>
      <c r="E9" s="140" t="s">
        <v>140</v>
      </c>
      <c r="F9" s="140">
        <v>57342430</v>
      </c>
      <c r="G9" s="141" t="s">
        <v>94</v>
      </c>
      <c r="H9" s="140" t="s">
        <v>100</v>
      </c>
      <c r="I9" s="140" t="s">
        <v>92</v>
      </c>
    </row>
    <row r="10" spans="2:9" ht="11.25" customHeight="1">
      <c r="C10" s="139" t="s">
        <v>137</v>
      </c>
      <c r="D10" s="140" t="s">
        <v>138</v>
      </c>
      <c r="E10" s="140" t="s">
        <v>141</v>
      </c>
      <c r="F10" s="140">
        <v>51111111</v>
      </c>
      <c r="G10" s="141" t="s">
        <v>94</v>
      </c>
      <c r="H10" s="140" t="s">
        <v>100</v>
      </c>
      <c r="I10" s="140" t="s">
        <v>92</v>
      </c>
    </row>
    <row r="11" spans="2:9">
      <c r="C11" s="139"/>
      <c r="D11" s="140"/>
      <c r="E11" s="140"/>
      <c r="F11" s="140"/>
      <c r="G11" s="141"/>
      <c r="H11" s="140"/>
      <c r="I11" s="140"/>
    </row>
    <row r="12" spans="2:9">
      <c r="C12" s="139"/>
      <c r="D12" s="140"/>
      <c r="E12" s="140"/>
      <c r="F12" s="140"/>
      <c r="G12" s="141"/>
      <c r="H12" s="140"/>
      <c r="I12" s="140"/>
    </row>
    <row r="13" spans="2:9">
      <c r="C13" s="139"/>
      <c r="D13" s="140"/>
      <c r="E13" s="140"/>
      <c r="F13" s="140"/>
      <c r="G13" s="141"/>
      <c r="H13" s="140"/>
      <c r="I13" s="140"/>
    </row>
    <row r="14" spans="2:9">
      <c r="C14" s="139"/>
      <c r="D14" s="140"/>
      <c r="E14" s="140"/>
      <c r="F14" s="140"/>
      <c r="G14" s="141"/>
      <c r="H14" s="140"/>
      <c r="I14" s="140"/>
    </row>
    <row r="15" spans="2:9">
      <c r="C15" s="139"/>
      <c r="D15" s="140"/>
      <c r="E15" s="140"/>
      <c r="F15" s="140"/>
      <c r="G15" s="141"/>
      <c r="H15" s="140"/>
      <c r="I15" s="140"/>
    </row>
    <row r="16" spans="2:9">
      <c r="C16" s="139"/>
      <c r="D16" s="140"/>
      <c r="E16" s="140"/>
      <c r="F16" s="140"/>
      <c r="G16" s="141"/>
      <c r="H16" s="140"/>
      <c r="I16" s="140"/>
    </row>
    <row r="17" spans="3:9">
      <c r="C17" s="139"/>
      <c r="D17" s="140"/>
      <c r="E17" s="140"/>
      <c r="F17" s="140"/>
      <c r="G17" s="141"/>
      <c r="H17" s="140"/>
      <c r="I17" s="140"/>
    </row>
    <row r="18" spans="3:9">
      <c r="C18" s="139"/>
      <c r="D18" s="140"/>
      <c r="E18" s="140"/>
      <c r="F18" s="140"/>
      <c r="G18" s="141"/>
      <c r="H18" s="140"/>
      <c r="I18" s="140"/>
    </row>
    <row r="19" spans="3:9">
      <c r="C19" s="139"/>
      <c r="D19" s="140"/>
      <c r="E19" s="140"/>
      <c r="F19" s="140"/>
      <c r="G19" s="141"/>
      <c r="H19" s="140"/>
      <c r="I19" s="140"/>
    </row>
    <row r="20" spans="3:9">
      <c r="C20" s="139"/>
      <c r="D20" s="140"/>
      <c r="E20" s="140"/>
      <c r="F20" s="140"/>
      <c r="G20" s="141"/>
      <c r="H20" s="140"/>
      <c r="I20" s="140"/>
    </row>
    <row r="21" spans="3:9">
      <c r="C21" s="139"/>
      <c r="D21" s="140"/>
      <c r="E21" s="140"/>
      <c r="F21" s="140"/>
      <c r="G21" s="141"/>
      <c r="H21" s="140"/>
      <c r="I21" s="140"/>
    </row>
    <row r="22" spans="3:9">
      <c r="C22" s="139"/>
      <c r="D22" s="140"/>
      <c r="E22" s="140"/>
      <c r="F22" s="140"/>
      <c r="G22" s="141"/>
      <c r="H22" s="140"/>
      <c r="I22" s="140"/>
    </row>
    <row r="23" spans="3:9">
      <c r="C23" s="139"/>
      <c r="D23" s="140"/>
      <c r="E23" s="140"/>
      <c r="F23" s="140"/>
      <c r="G23" s="141"/>
      <c r="H23" s="140"/>
      <c r="I23" s="140"/>
    </row>
    <row r="24" spans="3:9">
      <c r="C24" s="139"/>
      <c r="D24" s="140"/>
      <c r="E24" s="140"/>
      <c r="F24" s="140"/>
      <c r="G24" s="141"/>
      <c r="H24" s="140"/>
      <c r="I24" s="140"/>
    </row>
    <row r="25" spans="3:9" ht="13.5" thickBot="1">
      <c r="C25" s="142"/>
      <c r="D25" s="143"/>
      <c r="E25" s="143"/>
      <c r="F25" s="143"/>
      <c r="G25" s="144"/>
      <c r="H25" s="145"/>
      <c r="I25" s="146"/>
    </row>
    <row r="26" spans="3:9" ht="13.5" thickTop="1"/>
    <row r="41" spans="8:10">
      <c r="H41" s="128"/>
      <c r="J41" s="147"/>
    </row>
    <row r="43" spans="8:10">
      <c r="H43" s="128"/>
      <c r="I43" s="147"/>
      <c r="J43" s="147"/>
    </row>
    <row r="51" spans="4:5">
      <c r="D51" s="6"/>
      <c r="E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C33"/>
  <sheetViews>
    <sheetView workbookViewId="0">
      <selection activeCell="C8" sqref="C8"/>
    </sheetView>
  </sheetViews>
  <sheetFormatPr defaultRowHeight="12.75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>
      <c r="A1" s="171" t="s">
        <v>103</v>
      </c>
      <c r="B1" s="172"/>
    </row>
    <row r="2" spans="1:3" ht="15">
      <c r="A2" s="173" t="s">
        <v>104</v>
      </c>
      <c r="B2" s="174">
        <f>COUNTIF(Sprint!$A$4:$A$92, "Feature")</f>
        <v>2</v>
      </c>
      <c r="C2" s="180">
        <f>B2/$B$6</f>
        <v>0.5</v>
      </c>
    </row>
    <row r="3" spans="1:3" ht="15">
      <c r="A3" s="173" t="s">
        <v>105</v>
      </c>
      <c r="B3" s="174">
        <f>COUNTIF(Sprint!$A$4:$A$92, "Tax")</f>
        <v>0</v>
      </c>
      <c r="C3" s="180">
        <f t="shared" ref="C3:C5" si="0">B3/$B$6</f>
        <v>0</v>
      </c>
    </row>
    <row r="4" spans="1:3" ht="15">
      <c r="A4" s="173" t="s">
        <v>106</v>
      </c>
      <c r="B4" s="174">
        <f>COUNTIF(Sprint!$A$4:$A$92, "Precondition")</f>
        <v>1</v>
      </c>
      <c r="C4" s="180">
        <f t="shared" si="0"/>
        <v>0.25</v>
      </c>
    </row>
    <row r="5" spans="1:3" ht="15">
      <c r="A5" s="173" t="s">
        <v>107</v>
      </c>
      <c r="B5" s="174">
        <f>COUNTIF(Sprint!$A$4:$A$92, "Spike")</f>
        <v>1</v>
      </c>
      <c r="C5" s="180">
        <f t="shared" si="0"/>
        <v>0.25</v>
      </c>
    </row>
    <row r="6" spans="1:3" ht="15">
      <c r="A6" s="175" t="s">
        <v>127</v>
      </c>
      <c r="B6" s="181">
        <f>SUM(B2:B5)</f>
        <v>4</v>
      </c>
      <c r="C6" s="182">
        <f>SUM(C2:C5)</f>
        <v>1</v>
      </c>
    </row>
    <row r="7" spans="1:3" ht="15">
      <c r="A7" s="174"/>
      <c r="B7" s="174"/>
    </row>
    <row r="8" spans="1:3" ht="15">
      <c r="A8" s="175" t="s">
        <v>108</v>
      </c>
      <c r="B8" s="174"/>
    </row>
    <row r="9" spans="1:3" ht="15">
      <c r="A9" s="173" t="s">
        <v>109</v>
      </c>
      <c r="B9" s="174">
        <f>COUNTIF(Sprint!$B$4:$B$209, "Data Model")</f>
        <v>1</v>
      </c>
      <c r="C9" s="180">
        <f>B9/$B$25</f>
        <v>0.25</v>
      </c>
    </row>
    <row r="10" spans="1:3" ht="15">
      <c r="A10" s="173" t="s">
        <v>110</v>
      </c>
      <c r="B10" s="174">
        <f>COUNTIF(Sprint!$B$4:$B$209, "Integration Model")</f>
        <v>1</v>
      </c>
      <c r="C10" s="180">
        <f>B10/$B$25</f>
        <v>0.25</v>
      </c>
    </row>
    <row r="11" spans="1:3" ht="15">
      <c r="A11" s="173" t="s">
        <v>111</v>
      </c>
      <c r="B11" s="174">
        <f>COUNTIF(Sprint!$B$4:$B$209, "System Frameworks")</f>
        <v>0</v>
      </c>
      <c r="C11" s="180">
        <f>B11/$B$25</f>
        <v>0</v>
      </c>
    </row>
    <row r="12" spans="1:3" ht="15">
      <c r="A12" s="173" t="s">
        <v>112</v>
      </c>
      <c r="B12" s="174">
        <f>COUNTIF(Sprint!$B$4:$B$209, "Data Conversions")</f>
        <v>1</v>
      </c>
      <c r="C12" s="180">
        <f t="shared" ref="C12:C24" si="1">B12/$B$25</f>
        <v>0.25</v>
      </c>
    </row>
    <row r="13" spans="1:3" ht="15">
      <c r="A13" s="173" t="s">
        <v>113</v>
      </c>
      <c r="B13" s="174">
        <f>COUNTIF(Sprint!$B$4:$B$209, "Security")</f>
        <v>1</v>
      </c>
      <c r="C13" s="180">
        <f t="shared" si="1"/>
        <v>0.25</v>
      </c>
    </row>
    <row r="14" spans="1:3" ht="15">
      <c r="A14" s="173" t="s">
        <v>114</v>
      </c>
      <c r="B14" s="174">
        <f>COUNTIF(Sprint!$B$4:$B$209, "Cash Payment Tracking")</f>
        <v>0</v>
      </c>
      <c r="C14" s="180">
        <f t="shared" si="1"/>
        <v>0</v>
      </c>
    </row>
    <row r="15" spans="1:3" ht="15">
      <c r="A15" s="173" t="s">
        <v>115</v>
      </c>
      <c r="B15" s="174">
        <f>COUNTIF(Sprint!$B$4:$B$209, "Views")</f>
        <v>0</v>
      </c>
      <c r="C15" s="180">
        <f t="shared" si="1"/>
        <v>0</v>
      </c>
    </row>
    <row r="16" spans="1:3" ht="15">
      <c r="A16" s="173" t="s">
        <v>116</v>
      </c>
      <c r="B16" s="174">
        <f>COUNTIF(Sprint!$B$4:$B$209, "Lookups")</f>
        <v>0</v>
      </c>
      <c r="C16" s="180">
        <f t="shared" si="1"/>
        <v>0</v>
      </c>
    </row>
    <row r="17" spans="1:3" ht="15">
      <c r="A17" s="173" t="s">
        <v>117</v>
      </c>
      <c r="B17" s="174">
        <f>COUNTIF(Sprint!$B$4:$B$209, "Detail screens")</f>
        <v>0</v>
      </c>
      <c r="C17" s="180">
        <f t="shared" si="1"/>
        <v>0</v>
      </c>
    </row>
    <row r="18" spans="1:3" ht="15">
      <c r="A18" s="173" t="s">
        <v>118</v>
      </c>
      <c r="B18" s="174">
        <f>COUNTIF(Sprint!$B$4:$B$209, "Notifications")</f>
        <v>0</v>
      </c>
      <c r="C18" s="180">
        <f t="shared" si="1"/>
        <v>0</v>
      </c>
    </row>
    <row r="19" spans="1:3" ht="15">
      <c r="A19" s="173" t="s">
        <v>119</v>
      </c>
      <c r="B19" s="174">
        <f>COUNTIF(Sprint!$B$4:$B$209, "Reports")</f>
        <v>0</v>
      </c>
      <c r="C19" s="180">
        <f t="shared" si="1"/>
        <v>0</v>
      </c>
    </row>
    <row r="20" spans="1:3" ht="15">
      <c r="A20" s="173" t="s">
        <v>120</v>
      </c>
      <c r="B20" s="174">
        <f>COUNTIF(Sprint!$B$4:$B$209, "Installation Package")</f>
        <v>0</v>
      </c>
      <c r="C20" s="180">
        <f t="shared" si="1"/>
        <v>0</v>
      </c>
    </row>
    <row r="21" spans="1:3" ht="15">
      <c r="A21" s="173" t="s">
        <v>121</v>
      </c>
      <c r="B21" s="174">
        <f>COUNTIF(Sprint!$B$4:$B$209, "Deployment")</f>
        <v>0</v>
      </c>
      <c r="C21" s="180">
        <f t="shared" si="1"/>
        <v>0</v>
      </c>
    </row>
    <row r="22" spans="1:3" ht="15">
      <c r="A22" s="173" t="s">
        <v>122</v>
      </c>
      <c r="B22" s="174">
        <f>COUNTIF(Sprint!$B$4:$B$209, "Documentation")</f>
        <v>0</v>
      </c>
      <c r="C22" s="180">
        <f t="shared" si="1"/>
        <v>0</v>
      </c>
    </row>
    <row r="23" spans="1:3" ht="15">
      <c r="A23" s="173" t="s">
        <v>123</v>
      </c>
      <c r="B23" s="174">
        <f>COUNTIF(Sprint!$B$4:$B$209, "Testing")</f>
        <v>0</v>
      </c>
      <c r="C23" s="180">
        <f t="shared" si="1"/>
        <v>0</v>
      </c>
    </row>
    <row r="24" spans="1:3" ht="15">
      <c r="A24" s="173" t="s">
        <v>124</v>
      </c>
      <c r="B24" s="174">
        <f>COUNTIF(Sprint!$B$4:$B$209, "Project Mgt")</f>
        <v>0</v>
      </c>
      <c r="C24" s="180">
        <f t="shared" si="1"/>
        <v>0</v>
      </c>
    </row>
    <row r="25" spans="1:3" ht="15">
      <c r="A25" s="175" t="s">
        <v>127</v>
      </c>
      <c r="B25" s="179">
        <f>SUM(B9:B24)</f>
        <v>4</v>
      </c>
      <c r="C25" s="180">
        <f>SUM(C9:C24)</f>
        <v>1</v>
      </c>
    </row>
    <row r="27" spans="1:3" ht="15">
      <c r="A27" s="178" t="s">
        <v>126</v>
      </c>
    </row>
    <row r="28" spans="1:3" ht="15">
      <c r="A28" s="173" t="s">
        <v>128</v>
      </c>
      <c r="B28" s="174">
        <f ca="1">COUNTIF(Sprint!$G$4:$G$92, "Complete")</f>
        <v>3</v>
      </c>
      <c r="C28" s="180">
        <f ca="1">B28/$B$33</f>
        <v>5.1724137931034482E-2</v>
      </c>
    </row>
    <row r="29" spans="1:3" ht="15">
      <c r="A29" s="173" t="s">
        <v>129</v>
      </c>
      <c r="B29" s="174">
        <f ca="1">COUNTIF(Sprint!$G$4:$G$92, "In Progress")</f>
        <v>1</v>
      </c>
      <c r="C29" s="180">
        <f t="shared" ref="C29:C32" ca="1" si="2">B29/$B$33</f>
        <v>1.7241379310344827E-2</v>
      </c>
    </row>
    <row r="30" spans="1:3" ht="15">
      <c r="A30" s="173" t="s">
        <v>130</v>
      </c>
      <c r="B30" s="174">
        <f ca="1">COUNTIF(Sprint!$G$4:$G$92, "Pending")</f>
        <v>54</v>
      </c>
      <c r="C30" s="180">
        <f t="shared" ca="1" si="2"/>
        <v>0.93103448275862066</v>
      </c>
    </row>
    <row r="31" spans="1:3" ht="15">
      <c r="A31" s="173" t="s">
        <v>125</v>
      </c>
      <c r="B31" s="174">
        <f ca="1">COUNTIF(Sprint!$G$4:$G$92, "Postponed")</f>
        <v>0</v>
      </c>
      <c r="C31" s="180">
        <f t="shared" ca="1" si="2"/>
        <v>0</v>
      </c>
    </row>
    <row r="32" spans="1:3" ht="15">
      <c r="A32" s="178" t="s">
        <v>131</v>
      </c>
      <c r="B32" s="174">
        <f ca="1">COUNTIF(Sprint!$G$4:$G$92, "Cancelled")</f>
        <v>0</v>
      </c>
      <c r="C32" s="180">
        <f t="shared" ca="1" si="2"/>
        <v>0</v>
      </c>
    </row>
    <row r="33" spans="1:3" ht="15">
      <c r="A33" s="183" t="s">
        <v>127</v>
      </c>
      <c r="B33" s="184">
        <f ca="1">SUM(B28:B32)</f>
        <v>58</v>
      </c>
      <c r="C33" s="185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Fazley</cp:lastModifiedBy>
  <cp:revision>1</cp:revision>
  <cp:lastPrinted>2005-08-15T09:18:22Z</cp:lastPrinted>
  <dcterms:created xsi:type="dcterms:W3CDTF">2005-01-26T21:50:47Z</dcterms:created>
  <dcterms:modified xsi:type="dcterms:W3CDTF">2015-08-30T22:29:32Z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